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Targets" sheetId="2" state="visible" r:id="rId2"/>
    <sheet name="1_Actuals_Input" sheetId="3" state="visible" r:id="rId3"/>
    <sheet name="2_KPI_Scorecard" sheetId="4" state="visible" r:id="rId4"/>
    <sheet name="3_Plant_Bonus" sheetId="5" state="visible" r:id="rId5"/>
    <sheet name="Formula_Cheat_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£#,##0.0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color rgb="00FFFFFF"/>
      <sz val="11"/>
    </font>
    <font>
      <i val="1"/>
      <color rgb="00666666"/>
    </font>
    <font>
      <b val="1"/>
    </font>
    <font>
      <b val="1"/>
      <sz val="12"/>
    </font>
    <font>
      <b val="1"/>
      <color rgb="001F4E79"/>
      <sz val="14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9" fontId="0" fillId="0" borderId="1" pivotButton="0" quotePrefix="0" xfId="0"/>
    <xf numFmtId="0" fontId="5" fillId="2" borderId="1" pivotButton="0" quotePrefix="0" xfId="0"/>
    <xf numFmtId="0" fontId="0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3" fillId="5" borderId="0" pivotButton="0" quotePrefix="0" xfId="0"/>
    <xf numFmtId="2" fontId="0" fillId="3" borderId="1" pivotButton="0" quotePrefix="0" xfId="0"/>
    <xf numFmtId="2" fontId="0" fillId="4" borderId="1" pivotButton="0" quotePrefix="0" xfId="0"/>
    <xf numFmtId="164" fontId="0" fillId="3" borderId="1" pivotButton="0" quotePrefix="0" xfId="0"/>
    <xf numFmtId="9" fontId="0" fillId="0" borderId="0" pivotButton="0" quotePrefix="0" xfId="0"/>
    <xf numFmtId="0" fontId="0" fillId="5" borderId="1" pivotButton="0" quotePrefix="0" xfId="0"/>
    <xf numFmtId="2" fontId="6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2" fontId="5" fillId="3" borderId="1" pivotButton="0" quotePrefix="0" xfId="0"/>
    <xf numFmtId="0" fontId="0" fillId="3" borderId="0" pivotButton="0" quotePrefix="0" xfId="0"/>
    <xf numFmtId="0" fontId="7" fillId="0" borderId="0" pivotButton="0" quotePrefix="0" xfId="0"/>
    <xf numFmtId="2" fontId="8" fillId="6" borderId="1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22" customWidth="1" min="4" max="4"/>
  </cols>
  <sheetData>
    <row r="1" ht="24" customHeight="1">
      <c r="A1" s="1" t="inlineStr">
        <is>
          <t>Signature Flatbreads — How to calculate KPIs in Excel</t>
        </is>
      </c>
    </row>
    <row r="3">
      <c r="A3" s="2" t="inlineStr">
        <is>
          <t>Colour key / Steps</t>
        </is>
      </c>
    </row>
    <row r="4">
      <c r="A4" s="3" t="inlineStr">
        <is>
          <t>Step 1</t>
        </is>
      </c>
      <c r="B4" s="3" t="inlineStr">
        <is>
          <t>Open sheet «1_Actuals_Input». Yellow cells are for typing. Enter monthly data for P1, T1, T2, L8, L9.</t>
        </is>
      </c>
    </row>
    <row r="5">
      <c r="A5" s="3" t="inlineStr">
        <is>
          <t>Step 2</t>
        </is>
      </c>
      <c r="B5" s="3" t="inlineStr">
        <is>
          <t>Sheet «2_KPI_Scorecard» calculates Actual metrics, Score %, and Weighted contribution automatically (green cells). Do not type in green cells.</t>
        </is>
      </c>
    </row>
    <row r="6">
      <c r="A6" s="3" t="inlineStr">
        <is>
          <t>Step 3</t>
        </is>
      </c>
      <c r="B6" s="3" t="inlineStr">
        <is>
          <t>Sheet «3_Plant_Bonus» averages line scores, applies safety/EPW/audit rules, and shows bonus payout by role.</t>
        </is>
      </c>
    </row>
    <row r="7">
      <c r="A7" s="3" t="inlineStr">
        <is>
          <t>Step 4</t>
        </is>
      </c>
      <c r="B7" s="3" t="inlineStr">
        <is>
          <t>Sheet «Targets» shows Year 1–3 targets. Change Year 1 targets only if your manager updates the scheme.</t>
        </is>
      </c>
    </row>
    <row r="8">
      <c r="A8" s="4" t="inlineStr">
        <is>
          <t>Yellow</t>
        </is>
      </c>
      <c r="B8" s="3" t="inlineStr">
        <is>
          <t>INPUT — type your numbers here</t>
        </is>
      </c>
    </row>
    <row r="9">
      <c r="A9" s="5" t="inlineStr">
        <is>
          <t>Green</t>
        </is>
      </c>
      <c r="B9" s="3" t="inlineStr">
        <is>
          <t>FORMULA — calculated automatically</t>
        </is>
      </c>
    </row>
    <row r="10">
      <c r="A10" s="6" t="inlineStr">
        <is>
          <t>Blue</t>
        </is>
      </c>
      <c r="B10" s="3" t="inlineStr">
        <is>
          <t>TARGET — from the KPI scheme</t>
        </is>
      </c>
    </row>
    <row r="12">
      <c r="A12" s="2" t="inlineStr">
        <is>
          <t>Excel formulas used (copy these if you build your own sheet)</t>
        </is>
      </c>
    </row>
    <row r="13">
      <c r="A13" s="7" t="inlineStr">
        <is>
          <t>KPI</t>
        </is>
      </c>
      <c r="B13" s="7" t="inlineStr">
        <is>
          <t>Actual formula</t>
        </is>
      </c>
      <c r="C13" s="7" t="inlineStr">
        <is>
          <t>Score % formula (capped at 100%)</t>
        </is>
      </c>
      <c r="D13" s="7" t="inlineStr">
        <is>
          <t>Weighted</t>
        </is>
      </c>
    </row>
    <row r="14">
      <c r="A14" s="8" t="inlineStr">
        <is>
          <t>OEE</t>
        </is>
      </c>
      <c r="B14" s="8" t="inlineStr">
        <is>
          <t>Availability × Performance × Quality</t>
        </is>
      </c>
      <c r="C14" s="8" t="inlineStr">
        <is>
          <t>MIN(100, Actual/Target*100)</t>
        </is>
      </c>
      <c r="D14" s="8" t="inlineStr">
        <is>
          <t>Score × 20%</t>
        </is>
      </c>
    </row>
    <row r="15">
      <c r="A15" s="8" t="inlineStr"/>
      <c r="B15" s="8" t="inlineStr">
        <is>
          <t>Availability = Actual operating hrs / Planned hrs</t>
        </is>
      </c>
      <c r="C15" s="8" t="inlineStr"/>
      <c r="D15" s="8" t="inlineStr"/>
    </row>
    <row r="16">
      <c r="A16" s="8" t="inlineStr"/>
      <c r="B16" s="8" t="inlineStr">
        <is>
          <t>Performance = (Output/Operating hrs) / Ideal rate</t>
        </is>
      </c>
      <c r="C16" s="8" t="inlineStr"/>
      <c r="D16" s="8" t="inlineStr"/>
    </row>
    <row r="17">
      <c r="A17" s="8" t="inlineStr"/>
      <c r="B17" s="8" t="inlineStr">
        <is>
          <t>Quality = Good units / Total units</t>
        </is>
      </c>
      <c r="C17" s="8" t="inlineStr"/>
      <c r="D17" s="8" t="inlineStr"/>
    </row>
    <row r="18">
      <c r="A18" s="8" t="inlineStr">
        <is>
          <t>Breakdown Frequency</t>
        </is>
      </c>
      <c r="B18" s="8" t="inlineStr">
        <is>
          <t>Count of breakdowns</t>
        </is>
      </c>
      <c r="C18" s="8" t="inlineStr">
        <is>
          <t>IF(Actual=0,100, MIN(100, Target/Actual*100))</t>
        </is>
      </c>
      <c r="D18" s="8" t="inlineStr">
        <is>
          <t>Score × 10%</t>
        </is>
      </c>
    </row>
    <row r="19">
      <c r="A19" s="8" t="inlineStr">
        <is>
          <t>Breakdown Hours</t>
        </is>
      </c>
      <c r="B19" s="8" t="inlineStr">
        <is>
          <t>Sum of downtime hours</t>
        </is>
      </c>
      <c r="C19" s="8" t="inlineStr">
        <is>
          <t>IF(Actual=0,100, MIN(100, Target/Actual*100))</t>
        </is>
      </c>
      <c r="D19" s="8" t="inlineStr">
        <is>
          <t>Score × 15%</t>
        </is>
      </c>
    </row>
    <row r="20">
      <c r="A20" s="8" t="inlineStr">
        <is>
          <t>PM Compliance</t>
        </is>
      </c>
      <c r="B20" s="8" t="inlineStr">
        <is>
          <t>Completed on time / Planned × 100</t>
        </is>
      </c>
      <c r="C20" s="8" t="inlineStr">
        <is>
          <t>MIN(100, Actual/Target*100)</t>
        </is>
      </c>
      <c r="D20" s="8" t="inlineStr">
        <is>
          <t>Score × 20%</t>
        </is>
      </c>
    </row>
    <row r="21">
      <c r="A21" s="8" t="inlineStr">
        <is>
          <t>MTTR</t>
        </is>
      </c>
      <c r="B21" s="8" t="inlineStr">
        <is>
          <t>Breakdown hours / Breakdown count</t>
        </is>
      </c>
      <c r="C21" s="8" t="inlineStr">
        <is>
          <t>IF(Actual=0,100, MIN(100, Target/Actual*100))</t>
        </is>
      </c>
      <c r="D21" s="8" t="inlineStr">
        <is>
          <t>Score × 15%</t>
        </is>
      </c>
    </row>
    <row r="22">
      <c r="A22" s="8" t="inlineStr">
        <is>
          <t>MTBF</t>
        </is>
      </c>
      <c r="B22" s="8" t="inlineStr">
        <is>
          <t>Operational hours / Breakdown count</t>
        </is>
      </c>
      <c r="C22" s="8" t="inlineStr">
        <is>
          <t>MIN(100, Actual/Target*100)</t>
        </is>
      </c>
      <c r="D22" s="8" t="inlineStr">
        <is>
          <t>Score × 10%</t>
        </is>
      </c>
    </row>
    <row r="23">
      <c r="A23" s="8" t="inlineStr">
        <is>
          <t>Safety</t>
        </is>
      </c>
      <c r="B23" s="8" t="inlineStr">
        <is>
          <t>LTI count (0 = pass)</t>
        </is>
      </c>
      <c r="C23" s="8" t="inlineStr">
        <is>
          <t>IF(LTI=0,100,0)</t>
        </is>
      </c>
      <c r="D23" s="8" t="inlineStr">
        <is>
          <t>Score × 10%</t>
        </is>
      </c>
    </row>
    <row r="24">
      <c r="A24" s="8" t="inlineStr">
        <is>
          <t>Line KPI Score</t>
        </is>
      </c>
      <c r="B24" s="8" t="inlineStr">
        <is>
          <t>Sum of all Weighted contributions</t>
        </is>
      </c>
      <c r="C24" s="8" t="inlineStr">
        <is>
          <t>Capped at 100%</t>
        </is>
      </c>
      <c r="D24" s="8" t="inlineStr"/>
    </row>
    <row r="25">
      <c r="A25" s="8" t="inlineStr">
        <is>
          <t>Plant score</t>
        </is>
      </c>
      <c r="B25" s="8" t="inlineStr">
        <is>
          <t>AVERAGE of line scores</t>
        </is>
      </c>
      <c r="C25" s="8" t="inlineStr">
        <is>
          <t>Then apply gatekeepers</t>
        </is>
      </c>
      <c r="D25" s="8" t="inlineStr"/>
    </row>
    <row r="27">
      <c r="A27" s="2" t="inlineStr">
        <is>
          <t>Gatekeeper rules (applied on Plant_Bonus sheet)</t>
        </is>
      </c>
    </row>
    <row r="28">
      <c r="A28" t="inlineStr">
        <is>
          <t>If any LTI &gt; 0 → Final bonus score × 50%</t>
        </is>
      </c>
    </row>
    <row r="29">
      <c r="A29" t="inlineStr">
        <is>
          <t>If Major safety violation = 1 → Final bonus = 0%</t>
        </is>
      </c>
    </row>
    <row r="30">
      <c r="A30" t="inlineStr">
        <is>
          <t>If Major EPW = 1 → Final bonus = 0%</t>
        </is>
      </c>
    </row>
    <row r="31">
      <c r="A31" t="inlineStr">
        <is>
          <t>If Dishonest reporting = 1 → Final bonus = 0%</t>
        </is>
      </c>
    </row>
    <row r="32">
      <c r="A32" t="inlineStr">
        <is>
          <t>If Audit = red → Final bonus × 50%</t>
        </is>
      </c>
    </row>
    <row r="33">
      <c r="A33" t="inlineStr">
        <is>
          <t>If Audit = green → eligible for extra reward (confirm amount with manager)</t>
        </is>
      </c>
    </row>
    <row r="34">
      <c r="A34" t="inlineStr">
        <is>
          <t>Individual KPI score and overall score cannot exceed 100%</t>
        </is>
      </c>
    </row>
    <row r="36">
      <c r="A36" s="9" t="inlineStr">
        <is>
          <t>Lines: P1 = Pancake | T1, T2 = Tortilla wrap | L8, L9 = Lines L8 &amp; L9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KPI Targets (from Maintenance Team KPI &amp; Monthly Bonus Scheme V2)</t>
        </is>
      </c>
    </row>
    <row r="3">
      <c r="A3" s="10" t="inlineStr">
        <is>
          <t>KPI</t>
        </is>
      </c>
      <c r="B3" s="10" t="inlineStr">
        <is>
          <t>Weight</t>
        </is>
      </c>
      <c r="C3" s="10" t="inlineStr">
        <is>
          <t>Direction</t>
        </is>
      </c>
      <c r="D3" s="10" t="inlineStr">
        <is>
          <t>Year 1 Target</t>
        </is>
      </c>
      <c r="E3" s="10" t="inlineStr">
        <is>
          <t>Year 2 Target</t>
        </is>
      </c>
      <c r="F3" s="10" t="inlineStr">
        <is>
          <t>Year 3 Target</t>
        </is>
      </c>
      <c r="G3" s="10" t="inlineStr">
        <is>
          <t>World Class</t>
        </is>
      </c>
    </row>
    <row r="4">
      <c r="A4" s="3" t="inlineStr">
        <is>
          <t>OEE</t>
        </is>
      </c>
      <c r="B4" s="11" t="n">
        <v>0.2</v>
      </c>
      <c r="C4" s="3" t="inlineStr">
        <is>
          <t>Higher better</t>
        </is>
      </c>
      <c r="D4" s="6" t="n">
        <v>82</v>
      </c>
      <c r="E4" s="6" t="n">
        <v>82</v>
      </c>
      <c r="F4" s="6" t="n">
        <v>82</v>
      </c>
      <c r="G4" s="6" t="n">
        <v>85</v>
      </c>
    </row>
    <row r="5">
      <c r="A5" s="3" t="inlineStr">
        <is>
          <t>Breakdown Frequency</t>
        </is>
      </c>
      <c r="B5" s="11" t="n">
        <v>0.1</v>
      </c>
      <c r="C5" s="3" t="inlineStr">
        <is>
          <t>Lower better</t>
        </is>
      </c>
      <c r="D5" s="6" t="n">
        <v>15</v>
      </c>
      <c r="E5" s="6" t="n">
        <v>10</v>
      </c>
      <c r="F5" s="6" t="n">
        <v>10</v>
      </c>
      <c r="G5" s="6" t="n">
        <v>0</v>
      </c>
    </row>
    <row r="6">
      <c r="A6" s="3" t="inlineStr">
        <is>
          <t>Breakdown Hours</t>
        </is>
      </c>
      <c r="B6" s="11" t="n">
        <v>0.15</v>
      </c>
      <c r="C6" s="3" t="inlineStr">
        <is>
          <t>Lower better</t>
        </is>
      </c>
      <c r="D6" s="6" t="n">
        <v>20</v>
      </c>
      <c r="E6" s="6" t="n">
        <v>12</v>
      </c>
      <c r="F6" s="6" t="n">
        <v>5</v>
      </c>
      <c r="G6" s="6" t="n"/>
    </row>
    <row r="7">
      <c r="A7" s="3" t="inlineStr">
        <is>
          <t>PM Compliance</t>
        </is>
      </c>
      <c r="B7" s="11" t="n">
        <v>0.2</v>
      </c>
      <c r="C7" s="3" t="inlineStr">
        <is>
          <t>Higher better</t>
        </is>
      </c>
      <c r="D7" s="6" t="n">
        <v>98</v>
      </c>
      <c r="E7" s="6" t="n">
        <v>98</v>
      </c>
      <c r="F7" s="6" t="n">
        <v>98</v>
      </c>
      <c r="G7" s="6" t="n">
        <v>95</v>
      </c>
    </row>
    <row r="8">
      <c r="A8" s="3" t="inlineStr">
        <is>
          <t>MTTR</t>
        </is>
      </c>
      <c r="B8" s="11" t="n">
        <v>0.15</v>
      </c>
      <c r="C8" s="3" t="inlineStr">
        <is>
          <t>Lower better</t>
        </is>
      </c>
      <c r="D8" s="6" t="n">
        <v>2.5</v>
      </c>
      <c r="E8" s="6" t="n">
        <v>2</v>
      </c>
      <c r="F8" s="6" t="n">
        <v>1.5</v>
      </c>
      <c r="G8" s="6" t="n">
        <v>1.5</v>
      </c>
    </row>
    <row r="9">
      <c r="A9" s="3" t="inlineStr">
        <is>
          <t>MTBF</t>
        </is>
      </c>
      <c r="B9" s="11" t="n">
        <v>0.1</v>
      </c>
      <c r="C9" s="3" t="inlineStr">
        <is>
          <t>Higher better</t>
        </is>
      </c>
      <c r="D9" s="6" t="n">
        <v>150</v>
      </c>
      <c r="E9" s="6" t="n">
        <v>500</v>
      </c>
      <c r="F9" s="6" t="n">
        <v>1000</v>
      </c>
      <c r="G9" s="6" t="n">
        <v>3000</v>
      </c>
    </row>
    <row r="10">
      <c r="A10" s="3" t="inlineStr">
        <is>
          <t>Safety (LTI)</t>
        </is>
      </c>
      <c r="B10" s="11" t="n">
        <v>0.1</v>
      </c>
      <c r="C10" s="3" t="inlineStr">
        <is>
          <t>Zero LTI</t>
        </is>
      </c>
      <c r="D10" s="6" t="n">
        <v>0</v>
      </c>
      <c r="E10" s="6" t="n">
        <v>0</v>
      </c>
      <c r="F10" s="6" t="n">
        <v>0</v>
      </c>
      <c r="G10" s="6" t="n">
        <v>0</v>
      </c>
    </row>
    <row r="12">
      <c r="A12" t="inlineStr">
        <is>
          <t>Year 1 targets in column D are used by the Scorecard formulas.</t>
        </is>
      </c>
    </row>
    <row r="13">
      <c r="A13" t="inlineStr">
        <is>
          <t>Weights: OEE 20%, BF 10%, BH 15%, PM 20%, MTTR 15%, MTBF 10%, Safety 10% = 100%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MONTHLY ACTUALS — type only in yellow cells</t>
        </is>
      </c>
    </row>
    <row r="2">
      <c r="A2" t="inlineStr">
        <is>
          <t>Month (YYYY-MM):</t>
        </is>
      </c>
      <c r="B2" s="12" t="inlineStr">
        <is>
          <t>2026-07</t>
        </is>
      </c>
    </row>
    <row r="4">
      <c r="A4" s="10" t="inlineStr">
        <is>
          <t>Input field</t>
        </is>
      </c>
      <c r="B4" s="10" t="inlineStr">
        <is>
          <t>Unit</t>
        </is>
      </c>
      <c r="C4" s="10" t="inlineStr">
        <is>
          <t>P1</t>
        </is>
      </c>
      <c r="D4" s="10" t="inlineStr">
        <is>
          <t>T1</t>
        </is>
      </c>
      <c r="E4" s="10" t="inlineStr">
        <is>
          <t>T2</t>
        </is>
      </c>
      <c r="F4" s="10" t="inlineStr">
        <is>
          <t>L8</t>
        </is>
      </c>
      <c r="G4" s="10" t="inlineStr">
        <is>
          <t>L9</t>
        </is>
      </c>
    </row>
    <row r="5">
      <c r="A5" t="inlineStr">
        <is>
          <t>Line name</t>
        </is>
      </c>
      <c r="B5" t="inlineStr"/>
      <c r="C5" s="5" t="inlineStr">
        <is>
          <t>Pancake</t>
        </is>
      </c>
      <c r="D5" s="5" t="inlineStr">
        <is>
          <t>Tortilla wrap</t>
        </is>
      </c>
      <c r="E5" s="5" t="inlineStr">
        <is>
          <t>Tortilla wrap</t>
        </is>
      </c>
      <c r="F5" s="5" t="inlineStr">
        <is>
          <t>Line L8</t>
        </is>
      </c>
      <c r="G5" s="5" t="inlineStr">
        <is>
          <t>Line L9</t>
        </is>
      </c>
    </row>
    <row r="6">
      <c r="A6" s="3" t="inlineStr">
        <is>
          <t>Planned production hours</t>
        </is>
      </c>
      <c r="B6" s="3" t="inlineStr">
        <is>
          <t>hours</t>
        </is>
      </c>
      <c r="C6" s="13" t="n">
        <v>480</v>
      </c>
      <c r="D6" s="13" t="n">
        <v>480</v>
      </c>
      <c r="E6" s="13" t="n">
        <v>480</v>
      </c>
      <c r="F6" s="13" t="n">
        <v>480</v>
      </c>
      <c r="G6" s="13" t="n">
        <v>480</v>
      </c>
    </row>
    <row r="7">
      <c r="A7" s="3" t="inlineStr">
        <is>
          <t>Actual operating hours</t>
        </is>
      </c>
      <c r="B7" s="3" t="inlineStr">
        <is>
          <t>hours</t>
        </is>
      </c>
      <c r="C7" s="13" t="n">
        <v>420</v>
      </c>
      <c r="D7" s="13" t="n">
        <v>400</v>
      </c>
      <c r="E7" s="13" t="n">
        <v>410</v>
      </c>
      <c r="F7" s="13" t="n">
        <v>435</v>
      </c>
      <c r="G7" s="13" t="n">
        <v>390</v>
      </c>
    </row>
    <row r="8">
      <c r="A8" s="3" t="inlineStr">
        <is>
          <t>Ideal rate (units/hour)</t>
        </is>
      </c>
      <c r="B8" s="3" t="inlineStr">
        <is>
          <t>u/h</t>
        </is>
      </c>
      <c r="C8" s="13" t="n">
        <v>1200</v>
      </c>
      <c r="D8" s="13" t="n">
        <v>1000</v>
      </c>
      <c r="E8" s="13" t="n">
        <v>1000</v>
      </c>
      <c r="F8" s="13" t="n">
        <v>900</v>
      </c>
      <c r="G8" s="13" t="n">
        <v>900</v>
      </c>
    </row>
    <row r="9">
      <c r="A9" s="3" t="inlineStr">
        <is>
          <t>Actual output units</t>
        </is>
      </c>
      <c r="B9" s="3" t="inlineStr">
        <is>
          <t>units</t>
        </is>
      </c>
      <c r="C9" s="13" t="n">
        <v>480000</v>
      </c>
      <c r="D9" s="13" t="n">
        <v>380000</v>
      </c>
      <c r="E9" s="13" t="n">
        <v>395000</v>
      </c>
      <c r="F9" s="13" t="n">
        <v>375000</v>
      </c>
      <c r="G9" s="13" t="n">
        <v>340000</v>
      </c>
    </row>
    <row r="10">
      <c r="A10" s="3" t="inlineStr">
        <is>
          <t>Good units</t>
        </is>
      </c>
      <c r="B10" s="3" t="inlineStr">
        <is>
          <t>units</t>
        </is>
      </c>
      <c r="C10" s="13" t="n">
        <v>465600</v>
      </c>
      <c r="D10" s="13" t="n">
        <v>372400</v>
      </c>
      <c r="E10" s="13" t="n">
        <v>387100</v>
      </c>
      <c r="F10" s="13" t="n">
        <v>367500</v>
      </c>
      <c r="G10" s="13" t="n">
        <v>329800</v>
      </c>
    </row>
    <row r="11">
      <c r="A11" s="3" t="inlineStr">
        <is>
          <t>Breakdown count</t>
        </is>
      </c>
      <c r="B11" s="3" t="inlineStr">
        <is>
          <t>count</t>
        </is>
      </c>
      <c r="C11" s="13" t="n">
        <v>12</v>
      </c>
      <c r="D11" s="13" t="n">
        <v>14</v>
      </c>
      <c r="E11" s="13" t="n">
        <v>11</v>
      </c>
      <c r="F11" s="13" t="n">
        <v>9</v>
      </c>
      <c r="G11" s="13" t="n">
        <v>16</v>
      </c>
    </row>
    <row r="12">
      <c r="A12" s="3" t="inlineStr">
        <is>
          <t>Breakdown hours</t>
        </is>
      </c>
      <c r="B12" s="3" t="inlineStr">
        <is>
          <t>hours</t>
        </is>
      </c>
      <c r="C12" s="13" t="n">
        <v>18.5</v>
      </c>
      <c r="D12" s="13" t="n">
        <v>19</v>
      </c>
      <c r="E12" s="13" t="n">
        <v>16</v>
      </c>
      <c r="F12" s="13" t="n">
        <v>14</v>
      </c>
      <c r="G12" s="13" t="n">
        <v>22</v>
      </c>
    </row>
    <row r="13">
      <c r="A13" s="3" t="inlineStr">
        <is>
          <t>Planned PM jobs</t>
        </is>
      </c>
      <c r="B13" s="3" t="inlineStr">
        <is>
          <t>count</t>
        </is>
      </c>
      <c r="C13" s="13" t="n">
        <v>25</v>
      </c>
      <c r="D13" s="13" t="n">
        <v>30</v>
      </c>
      <c r="E13" s="13" t="n">
        <v>28</v>
      </c>
      <c r="F13" s="13" t="n">
        <v>22</v>
      </c>
      <c r="G13" s="13" t="n">
        <v>20</v>
      </c>
    </row>
    <row r="14">
      <c r="A14" s="3" t="inlineStr">
        <is>
          <t>Completed PM on time</t>
        </is>
      </c>
      <c r="B14" s="3" t="inlineStr">
        <is>
          <t>count</t>
        </is>
      </c>
      <c r="C14" s="13" t="n">
        <v>24</v>
      </c>
      <c r="D14" s="13" t="n">
        <v>29</v>
      </c>
      <c r="E14" s="13" t="n">
        <v>27</v>
      </c>
      <c r="F14" s="13" t="n">
        <v>22</v>
      </c>
      <c r="G14" s="13" t="n">
        <v>18</v>
      </c>
    </row>
    <row r="15">
      <c r="A15" s="3" t="inlineStr">
        <is>
          <t>Operational hours (MTBF)</t>
        </is>
      </c>
      <c r="B15" s="3" t="inlineStr">
        <is>
          <t>hours</t>
        </is>
      </c>
      <c r="C15" s="13" t="n">
        <v>420</v>
      </c>
      <c r="D15" s="13" t="n">
        <v>400</v>
      </c>
      <c r="E15" s="13" t="n">
        <v>410</v>
      </c>
      <c r="F15" s="13" t="n">
        <v>435</v>
      </c>
      <c r="G15" s="13" t="n">
        <v>390</v>
      </c>
    </row>
    <row r="16">
      <c r="A16" s="3" t="inlineStr">
        <is>
          <t>LTI count</t>
        </is>
      </c>
      <c r="B16" s="3" t="inlineStr">
        <is>
          <t>count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</row>
    <row r="17">
      <c r="A17" s="3" t="inlineStr">
        <is>
          <t>Major safety violation (0/1)</t>
        </is>
      </c>
      <c r="B17" s="3" t="inlineStr">
        <is>
          <t>0/1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</row>
    <row r="18">
      <c r="A18" s="3" t="inlineStr">
        <is>
          <t>Major EPW (0/1)</t>
        </is>
      </c>
      <c r="B18" s="3" t="inlineStr">
        <is>
          <t>0/1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</row>
    <row r="19">
      <c r="A19" s="3" t="inlineStr">
        <is>
          <t>Dishonest reporting (0/1)</t>
        </is>
      </c>
      <c r="B19" s="3" t="inlineStr">
        <is>
          <t>0/1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</row>
    <row r="20">
      <c r="A20" s="3" t="inlineStr">
        <is>
          <t>Audit result (green/amber/red)</t>
        </is>
      </c>
      <c r="B20" s="3" t="inlineStr">
        <is>
          <t>text</t>
        </is>
      </c>
      <c r="C20" s="13" t="inlineStr">
        <is>
          <t>green</t>
        </is>
      </c>
      <c r="D20" s="13" t="inlineStr">
        <is>
          <t>green</t>
        </is>
      </c>
      <c r="E20" s="13" t="inlineStr">
        <is>
          <t>green</t>
        </is>
      </c>
      <c r="F20" s="13" t="inlineStr">
        <is>
          <t>green</t>
        </is>
      </c>
      <c r="G20" s="13" t="inlineStr">
        <is>
          <t>amber</t>
        </is>
      </c>
    </row>
    <row r="22">
      <c r="A22" s="9" t="inlineStr">
        <is>
          <t>Tip: Replace yellow sample numbers with real data from Excel / Maintainer / Teams each month.</t>
        </is>
      </c>
    </row>
    <row r="23">
      <c r="A23" t="inlineStr">
        <is>
          <t>Data sources: OEE &amp; downtime → Excel | PM completion date → Maintainer | Breakdown end → Teams | Safety → H&amp;S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KPI SCORECARD — all green cells are formulas (do not overwrite)</t>
        </is>
      </c>
    </row>
    <row r="2">
      <c r="A2" t="inlineStr">
        <is>
          <t>Month:</t>
        </is>
      </c>
      <c r="B2" s="14">
        <f>'1_Actuals_Input'!B2</f>
        <v/>
      </c>
    </row>
    <row r="3">
      <c r="C3" s="15" t="inlineStr">
        <is>
          <t>P1</t>
        </is>
      </c>
      <c r="G3" s="15" t="inlineStr">
        <is>
          <t>T1</t>
        </is>
      </c>
      <c r="K3" s="15" t="inlineStr">
        <is>
          <t>T2</t>
        </is>
      </c>
      <c r="O3" s="15" t="inlineStr">
        <is>
          <t>L8</t>
        </is>
      </c>
      <c r="S3" s="15" t="inlineStr">
        <is>
          <t>L9</t>
        </is>
      </c>
    </row>
    <row r="4">
      <c r="A4" s="16" t="inlineStr">
        <is>
          <t>KPI</t>
        </is>
      </c>
      <c r="B4" s="16" t="inlineStr">
        <is>
          <t>Weight</t>
        </is>
      </c>
      <c r="C4" s="10" t="inlineStr">
        <is>
          <t>Actual</t>
        </is>
      </c>
      <c r="D4" s="10" t="inlineStr">
        <is>
          <t>Target</t>
        </is>
      </c>
      <c r="E4" s="10" t="inlineStr">
        <is>
          <t>Score %</t>
        </is>
      </c>
      <c r="F4" s="10" t="inlineStr">
        <is>
          <t>Weighted</t>
        </is>
      </c>
      <c r="G4" s="10" t="inlineStr">
        <is>
          <t>Actual</t>
        </is>
      </c>
      <c r="H4" s="10" t="inlineStr">
        <is>
          <t>Target</t>
        </is>
      </c>
      <c r="I4" s="10" t="inlineStr">
        <is>
          <t>Score %</t>
        </is>
      </c>
      <c r="J4" s="10" t="inlineStr">
        <is>
          <t>Weighted</t>
        </is>
      </c>
      <c r="K4" s="10" t="inlineStr">
        <is>
          <t>Actual</t>
        </is>
      </c>
      <c r="L4" s="10" t="inlineStr">
        <is>
          <t>Target</t>
        </is>
      </c>
      <c r="M4" s="10" t="inlineStr">
        <is>
          <t>Score %</t>
        </is>
      </c>
      <c r="N4" s="10" t="inlineStr">
        <is>
          <t>Weighted</t>
        </is>
      </c>
      <c r="O4" s="10" t="inlineStr">
        <is>
          <t>Actual</t>
        </is>
      </c>
      <c r="P4" s="10" t="inlineStr">
        <is>
          <t>Target</t>
        </is>
      </c>
      <c r="Q4" s="10" t="inlineStr">
        <is>
          <t>Score %</t>
        </is>
      </c>
      <c r="R4" s="10" t="inlineStr">
        <is>
          <t>Weighted</t>
        </is>
      </c>
      <c r="S4" s="10" t="inlineStr">
        <is>
          <t>Actual</t>
        </is>
      </c>
      <c r="T4" s="10" t="inlineStr">
        <is>
          <t>Target</t>
        </is>
      </c>
      <c r="U4" s="10" t="inlineStr">
        <is>
          <t>Score %</t>
        </is>
      </c>
      <c r="V4" s="10" t="inlineStr">
        <is>
          <t>Weighted</t>
        </is>
      </c>
    </row>
    <row r="5">
      <c r="A5" s="3" t="inlineStr">
        <is>
          <t>OEE %</t>
        </is>
      </c>
      <c r="B5" s="11" t="n">
        <v>0.2</v>
      </c>
      <c r="C5" s="17" t="inlineStr">
        <is>
          <t>IF('1_Actuals_Input'!C6=0,0,(('1_Actuals_Input'!C7/'1_Actuals_Input'!C6)*(('1_Actuals_Input'!C9/'1_Actuals_Input'!C7)/'1_Actuals_Input'!C8)*('1_Actuals_Input'!C10/'1_Actuals_Input'!C9))*100)</t>
        </is>
      </c>
      <c r="D5" s="18">
        <f>Targets!$D$4</f>
        <v/>
      </c>
      <c r="E5" s="19">
        <f>IF(D5=0,0,MIN(100,C5/D5*100))</f>
        <v/>
      </c>
      <c r="F5" s="17">
        <f>E5*$B5</f>
        <v/>
      </c>
      <c r="G5" s="17" t="inlineStr">
        <is>
          <t>IF('1_Actuals_Input'!D6=0,0,(('1_Actuals_Input'!D7/'1_Actuals_Input'!D6)*(('1_Actuals_Input'!D9/'1_Actuals_Input'!D7)/'1_Actuals_Input'!D8)*('1_Actuals_Input'!D10/'1_Actuals_Input'!D9))*100)</t>
        </is>
      </c>
      <c r="H5" s="18">
        <f>Targets!$D$4</f>
        <v/>
      </c>
      <c r="I5" s="19">
        <f>IF(H5=0,0,MIN(100,G5/H5*100))</f>
        <v/>
      </c>
      <c r="J5" s="17">
        <f>I5*$B5</f>
        <v/>
      </c>
      <c r="K5" s="17" t="inlineStr">
        <is>
          <t>IF('1_Actuals_Input'!E6=0,0,(('1_Actuals_Input'!E7/'1_Actuals_Input'!E6)*(('1_Actuals_Input'!E9/'1_Actuals_Input'!E7)/'1_Actuals_Input'!E8)*('1_Actuals_Input'!E10/'1_Actuals_Input'!E9))*100)</t>
        </is>
      </c>
      <c r="L5" s="18">
        <f>Targets!$D$4</f>
        <v/>
      </c>
      <c r="M5" s="19">
        <f>IF(L5=0,0,MIN(100,K5/L5*100))</f>
        <v/>
      </c>
      <c r="N5" s="17">
        <f>M5*$B5</f>
        <v/>
      </c>
      <c r="O5" s="17" t="inlineStr">
        <is>
          <t>IF('1_Actuals_Input'!F6=0,0,(('1_Actuals_Input'!F7/'1_Actuals_Input'!F6)*(('1_Actuals_Input'!F9/'1_Actuals_Input'!F7)/'1_Actuals_Input'!F8)*('1_Actuals_Input'!F10/'1_Actuals_Input'!F9))*100)</t>
        </is>
      </c>
      <c r="P5" s="18">
        <f>Targets!$D$4</f>
        <v/>
      </c>
      <c r="Q5" s="19">
        <f>IF(P5=0,0,MIN(100,O5/P5*100))</f>
        <v/>
      </c>
      <c r="R5" s="17">
        <f>Q5*$B5</f>
        <v/>
      </c>
      <c r="S5" s="17" t="inlineStr">
        <is>
          <t>IF('1_Actuals_Input'!G6=0,0,(('1_Actuals_Input'!G7/'1_Actuals_Input'!G6)*(('1_Actuals_Input'!G9/'1_Actuals_Input'!G7)/'1_Actuals_Input'!G8)*('1_Actuals_Input'!G10/'1_Actuals_Input'!G9))*100)</t>
        </is>
      </c>
      <c r="T5" s="18">
        <f>Targets!$D$4</f>
        <v/>
      </c>
      <c r="U5" s="19">
        <f>IF(T5=0,0,MIN(100,S5/T5*100))</f>
        <v/>
      </c>
      <c r="V5" s="17">
        <f>U5*$B5</f>
        <v/>
      </c>
    </row>
    <row r="6">
      <c r="A6" s="3" t="inlineStr">
        <is>
          <t>Breakdown Frequency</t>
        </is>
      </c>
      <c r="B6" s="11" t="n">
        <v>0.1</v>
      </c>
      <c r="C6" s="17">
        <f>'1_Actuals_Input'!C11</f>
        <v/>
      </c>
      <c r="D6" s="18">
        <f>Targets!$D$5</f>
        <v/>
      </c>
      <c r="E6" s="19">
        <f>IF(C6=0,100,MIN(100,D6/C6*100))</f>
        <v/>
      </c>
      <c r="F6" s="17">
        <f>E6*$B6</f>
        <v/>
      </c>
      <c r="G6" s="17">
        <f>'1_Actuals_Input'!D11</f>
        <v/>
      </c>
      <c r="H6" s="18">
        <f>Targets!$D$5</f>
        <v/>
      </c>
      <c r="I6" s="19">
        <f>IF(G6=0,100,MIN(100,H6/G6*100))</f>
        <v/>
      </c>
      <c r="J6" s="17">
        <f>I6*$B6</f>
        <v/>
      </c>
      <c r="K6" s="17">
        <f>'1_Actuals_Input'!E11</f>
        <v/>
      </c>
      <c r="L6" s="18">
        <f>Targets!$D$5</f>
        <v/>
      </c>
      <c r="M6" s="19">
        <f>IF(K6=0,100,MIN(100,L6/K6*100))</f>
        <v/>
      </c>
      <c r="N6" s="17">
        <f>M6*$B6</f>
        <v/>
      </c>
      <c r="O6" s="17">
        <f>'1_Actuals_Input'!F11</f>
        <v/>
      </c>
      <c r="P6" s="18">
        <f>Targets!$D$5</f>
        <v/>
      </c>
      <c r="Q6" s="19">
        <f>IF(O6=0,100,MIN(100,P6/O6*100))</f>
        <v/>
      </c>
      <c r="R6" s="17">
        <f>Q6*$B6</f>
        <v/>
      </c>
      <c r="S6" s="17">
        <f>'1_Actuals_Input'!G11</f>
        <v/>
      </c>
      <c r="T6" s="18">
        <f>Targets!$D$5</f>
        <v/>
      </c>
      <c r="U6" s="19">
        <f>IF(S6=0,100,MIN(100,T6/S6*100))</f>
        <v/>
      </c>
      <c r="V6" s="17">
        <f>U6*$B6</f>
        <v/>
      </c>
    </row>
    <row r="7">
      <c r="A7" s="3" t="inlineStr">
        <is>
          <t>Breakdown Hours</t>
        </is>
      </c>
      <c r="B7" s="11" t="n">
        <v>0.15</v>
      </c>
      <c r="C7" s="17">
        <f>'1_Actuals_Input'!C12</f>
        <v/>
      </c>
      <c r="D7" s="18">
        <f>Targets!$D$6</f>
        <v/>
      </c>
      <c r="E7" s="19">
        <f>IF(C7=0,100,MIN(100,D7/C7*100))</f>
        <v/>
      </c>
      <c r="F7" s="17">
        <f>E7*$B7</f>
        <v/>
      </c>
      <c r="G7" s="17">
        <f>'1_Actuals_Input'!D12</f>
        <v/>
      </c>
      <c r="H7" s="18">
        <f>Targets!$D$6</f>
        <v/>
      </c>
      <c r="I7" s="19">
        <f>IF(G7=0,100,MIN(100,H7/G7*100))</f>
        <v/>
      </c>
      <c r="J7" s="17">
        <f>I7*$B7</f>
        <v/>
      </c>
      <c r="K7" s="17">
        <f>'1_Actuals_Input'!E12</f>
        <v/>
      </c>
      <c r="L7" s="18">
        <f>Targets!$D$6</f>
        <v/>
      </c>
      <c r="M7" s="19">
        <f>IF(K7=0,100,MIN(100,L7/K7*100))</f>
        <v/>
      </c>
      <c r="N7" s="17">
        <f>M7*$B7</f>
        <v/>
      </c>
      <c r="O7" s="17">
        <f>'1_Actuals_Input'!F12</f>
        <v/>
      </c>
      <c r="P7" s="18">
        <f>Targets!$D$6</f>
        <v/>
      </c>
      <c r="Q7" s="19">
        <f>IF(O7=0,100,MIN(100,P7/O7*100))</f>
        <v/>
      </c>
      <c r="R7" s="17">
        <f>Q7*$B7</f>
        <v/>
      </c>
      <c r="S7" s="17">
        <f>'1_Actuals_Input'!G12</f>
        <v/>
      </c>
      <c r="T7" s="18">
        <f>Targets!$D$6</f>
        <v/>
      </c>
      <c r="U7" s="19">
        <f>IF(S7=0,100,MIN(100,T7/S7*100))</f>
        <v/>
      </c>
      <c r="V7" s="17">
        <f>U7*$B7</f>
        <v/>
      </c>
    </row>
    <row r="8">
      <c r="A8" s="3" t="inlineStr">
        <is>
          <t>PM Compliance %</t>
        </is>
      </c>
      <c r="B8" s="11" t="n">
        <v>0.2</v>
      </c>
      <c r="C8" s="17">
        <f>IF('1_Actuals_Input'!C13=0,0,'1_Actuals_Input'!C14/'1_Actuals_Input'!C13*100)</f>
        <v/>
      </c>
      <c r="D8" s="18">
        <f>Targets!$D$7</f>
        <v/>
      </c>
      <c r="E8" s="19">
        <f>IF(D8=0,0,MIN(100,C8/D8*100))</f>
        <v/>
      </c>
      <c r="F8" s="17">
        <f>E8*$B8</f>
        <v/>
      </c>
      <c r="G8" s="17">
        <f>IF('1_Actuals_Input'!D13=0,0,'1_Actuals_Input'!D14/'1_Actuals_Input'!D13*100)</f>
        <v/>
      </c>
      <c r="H8" s="18">
        <f>Targets!$D$7</f>
        <v/>
      </c>
      <c r="I8" s="19">
        <f>IF(H8=0,0,MIN(100,G8/H8*100))</f>
        <v/>
      </c>
      <c r="J8" s="17">
        <f>I8*$B8</f>
        <v/>
      </c>
      <c r="K8" s="17">
        <f>IF('1_Actuals_Input'!E13=0,0,'1_Actuals_Input'!E14/'1_Actuals_Input'!E13*100)</f>
        <v/>
      </c>
      <c r="L8" s="18">
        <f>Targets!$D$7</f>
        <v/>
      </c>
      <c r="M8" s="19">
        <f>IF(L8=0,0,MIN(100,K8/L8*100))</f>
        <v/>
      </c>
      <c r="N8" s="17">
        <f>M8*$B8</f>
        <v/>
      </c>
      <c r="O8" s="17">
        <f>IF('1_Actuals_Input'!F13=0,0,'1_Actuals_Input'!F14/'1_Actuals_Input'!F13*100)</f>
        <v/>
      </c>
      <c r="P8" s="18">
        <f>Targets!$D$7</f>
        <v/>
      </c>
      <c r="Q8" s="19">
        <f>IF(P8=0,0,MIN(100,O8/P8*100))</f>
        <v/>
      </c>
      <c r="R8" s="17">
        <f>Q8*$B8</f>
        <v/>
      </c>
      <c r="S8" s="17">
        <f>IF('1_Actuals_Input'!G13=0,0,'1_Actuals_Input'!G14/'1_Actuals_Input'!G13*100)</f>
        <v/>
      </c>
      <c r="T8" s="18">
        <f>Targets!$D$7</f>
        <v/>
      </c>
      <c r="U8" s="19">
        <f>IF(T8=0,0,MIN(100,S8/T8*100))</f>
        <v/>
      </c>
      <c r="V8" s="17">
        <f>U8*$B8</f>
        <v/>
      </c>
    </row>
    <row r="9">
      <c r="A9" s="3" t="inlineStr">
        <is>
          <t>MTTR (hours)</t>
        </is>
      </c>
      <c r="B9" s="11" t="n">
        <v>0.15</v>
      </c>
      <c r="C9" s="17">
        <f>IF('1_Actuals_Input'!C11=0,0,'1_Actuals_Input'!C12/'1_Actuals_Input'!C11)</f>
        <v/>
      </c>
      <c r="D9" s="18">
        <f>Targets!$D$8</f>
        <v/>
      </c>
      <c r="E9" s="19">
        <f>IF(C9=0,100,MIN(100,D9/C9*100))</f>
        <v/>
      </c>
      <c r="F9" s="17">
        <f>E9*$B9</f>
        <v/>
      </c>
      <c r="G9" s="17">
        <f>IF('1_Actuals_Input'!D11=0,0,'1_Actuals_Input'!D12/'1_Actuals_Input'!D11)</f>
        <v/>
      </c>
      <c r="H9" s="18">
        <f>Targets!$D$8</f>
        <v/>
      </c>
      <c r="I9" s="19">
        <f>IF(G9=0,100,MIN(100,H9/G9*100))</f>
        <v/>
      </c>
      <c r="J9" s="17">
        <f>I9*$B9</f>
        <v/>
      </c>
      <c r="K9" s="17">
        <f>IF('1_Actuals_Input'!E11=0,0,'1_Actuals_Input'!E12/'1_Actuals_Input'!E11)</f>
        <v/>
      </c>
      <c r="L9" s="18">
        <f>Targets!$D$8</f>
        <v/>
      </c>
      <c r="M9" s="19">
        <f>IF(K9=0,100,MIN(100,L9/K9*100))</f>
        <v/>
      </c>
      <c r="N9" s="17">
        <f>M9*$B9</f>
        <v/>
      </c>
      <c r="O9" s="17">
        <f>IF('1_Actuals_Input'!F11=0,0,'1_Actuals_Input'!F12/'1_Actuals_Input'!F11)</f>
        <v/>
      </c>
      <c r="P9" s="18">
        <f>Targets!$D$8</f>
        <v/>
      </c>
      <c r="Q9" s="19">
        <f>IF(O9=0,100,MIN(100,P9/O9*100))</f>
        <v/>
      </c>
      <c r="R9" s="17">
        <f>Q9*$B9</f>
        <v/>
      </c>
      <c r="S9" s="17">
        <f>IF('1_Actuals_Input'!G11=0,0,'1_Actuals_Input'!G12/'1_Actuals_Input'!G11)</f>
        <v/>
      </c>
      <c r="T9" s="18">
        <f>Targets!$D$8</f>
        <v/>
      </c>
      <c r="U9" s="19">
        <f>IF(S9=0,100,MIN(100,T9/S9*100))</f>
        <v/>
      </c>
      <c r="V9" s="17">
        <f>U9*$B9</f>
        <v/>
      </c>
    </row>
    <row r="10">
      <c r="A10" s="3" t="inlineStr">
        <is>
          <t>MTBF (hours)</t>
        </is>
      </c>
      <c r="B10" s="11" t="n">
        <v>0.1</v>
      </c>
      <c r="C10" s="17">
        <f>IF('1_Actuals_Input'!C11=0,'1_Actuals_Input'!C15,'1_Actuals_Input'!C15/'1_Actuals_Input'!C11)</f>
        <v/>
      </c>
      <c r="D10" s="18">
        <f>Targets!$D$9</f>
        <v/>
      </c>
      <c r="E10" s="19">
        <f>IF(D10=0,0,MIN(100,C10/D10*100))</f>
        <v/>
      </c>
      <c r="F10" s="17">
        <f>E10*$B10</f>
        <v/>
      </c>
      <c r="G10" s="17">
        <f>IF('1_Actuals_Input'!D11=0,'1_Actuals_Input'!D15,'1_Actuals_Input'!D15/'1_Actuals_Input'!D11)</f>
        <v/>
      </c>
      <c r="H10" s="18">
        <f>Targets!$D$9</f>
        <v/>
      </c>
      <c r="I10" s="19">
        <f>IF(H10=0,0,MIN(100,G10/H10*100))</f>
        <v/>
      </c>
      <c r="J10" s="17">
        <f>I10*$B10</f>
        <v/>
      </c>
      <c r="K10" s="17">
        <f>IF('1_Actuals_Input'!E11=0,'1_Actuals_Input'!E15,'1_Actuals_Input'!E15/'1_Actuals_Input'!E11)</f>
        <v/>
      </c>
      <c r="L10" s="18">
        <f>Targets!$D$9</f>
        <v/>
      </c>
      <c r="M10" s="19">
        <f>IF(L10=0,0,MIN(100,K10/L10*100))</f>
        <v/>
      </c>
      <c r="N10" s="17">
        <f>M10*$B10</f>
        <v/>
      </c>
      <c r="O10" s="17">
        <f>IF('1_Actuals_Input'!F11=0,'1_Actuals_Input'!F15,'1_Actuals_Input'!F15/'1_Actuals_Input'!F11)</f>
        <v/>
      </c>
      <c r="P10" s="18">
        <f>Targets!$D$9</f>
        <v/>
      </c>
      <c r="Q10" s="19">
        <f>IF(P10=0,0,MIN(100,O10/P10*100))</f>
        <v/>
      </c>
      <c r="R10" s="17">
        <f>Q10*$B10</f>
        <v/>
      </c>
      <c r="S10" s="17">
        <f>IF('1_Actuals_Input'!G11=0,'1_Actuals_Input'!G15,'1_Actuals_Input'!G15/'1_Actuals_Input'!G11)</f>
        <v/>
      </c>
      <c r="T10" s="18">
        <f>Targets!$D$9</f>
        <v/>
      </c>
      <c r="U10" s="19">
        <f>IF(T10=0,0,MIN(100,S10/T10*100))</f>
        <v/>
      </c>
      <c r="V10" s="17">
        <f>U10*$B10</f>
        <v/>
      </c>
    </row>
    <row r="11">
      <c r="A11" s="3" t="inlineStr">
        <is>
          <t>Safety (LTI→score)</t>
        </is>
      </c>
      <c r="B11" s="11" t="n">
        <v>0.1</v>
      </c>
      <c r="C11" s="17">
        <f>'1_Actuals_Input'!C16</f>
        <v/>
      </c>
      <c r="D11" s="18">
        <f>Targets!$D$10</f>
        <v/>
      </c>
      <c r="E11" s="19">
        <f>IF(C11=0,100,0)</f>
        <v/>
      </c>
      <c r="F11" s="17">
        <f>E11*$B11</f>
        <v/>
      </c>
      <c r="G11" s="17">
        <f>'1_Actuals_Input'!D16</f>
        <v/>
      </c>
      <c r="H11" s="18">
        <f>Targets!$D$10</f>
        <v/>
      </c>
      <c r="I11" s="19">
        <f>IF(G11=0,100,0)</f>
        <v/>
      </c>
      <c r="J11" s="17">
        <f>I11*$B11</f>
        <v/>
      </c>
      <c r="K11" s="17">
        <f>'1_Actuals_Input'!E16</f>
        <v/>
      </c>
      <c r="L11" s="18">
        <f>Targets!$D$10</f>
        <v/>
      </c>
      <c r="M11" s="19">
        <f>IF(K11=0,100,0)</f>
        <v/>
      </c>
      <c r="N11" s="17">
        <f>M11*$B11</f>
        <v/>
      </c>
      <c r="O11" s="17">
        <f>'1_Actuals_Input'!F16</f>
        <v/>
      </c>
      <c r="P11" s="18">
        <f>Targets!$D$10</f>
        <v/>
      </c>
      <c r="Q11" s="19">
        <f>IF(O11=0,100,0)</f>
        <v/>
      </c>
      <c r="R11" s="17">
        <f>Q11*$B11</f>
        <v/>
      </c>
      <c r="S11" s="17">
        <f>'1_Actuals_Input'!G16</f>
        <v/>
      </c>
      <c r="T11" s="18">
        <f>Targets!$D$10</f>
        <v/>
      </c>
      <c r="U11" s="19">
        <f>IF(S11=0,100,0)</f>
        <v/>
      </c>
      <c r="V11" s="17">
        <f>U11*$B11</f>
        <v/>
      </c>
    </row>
    <row r="12">
      <c r="A12" s="14" t="inlineStr">
        <is>
          <t>LINE KPI SCORE %</t>
        </is>
      </c>
      <c r="B12" s="20" t="n">
        <v>1</v>
      </c>
      <c r="C12" s="21" t="inlineStr"/>
      <c r="D12" s="21" t="inlineStr"/>
      <c r="E12" s="21" t="inlineStr"/>
      <c r="F12" s="22">
        <f>MIN(100,SUM(F5:F11))</f>
        <v/>
      </c>
      <c r="G12" s="21" t="inlineStr"/>
      <c r="H12" s="21" t="inlineStr"/>
      <c r="I12" s="21" t="inlineStr"/>
      <c r="J12" s="22">
        <f>MIN(100,SUM(J5:J11))</f>
        <v/>
      </c>
      <c r="K12" s="21" t="inlineStr"/>
      <c r="L12" s="21" t="inlineStr"/>
      <c r="M12" s="21" t="inlineStr"/>
      <c r="N12" s="22">
        <f>MIN(100,SUM(N5:N11))</f>
        <v/>
      </c>
      <c r="O12" s="21" t="inlineStr"/>
      <c r="P12" s="21" t="inlineStr"/>
      <c r="Q12" s="21" t="inlineStr"/>
      <c r="R12" s="22">
        <f>MIN(100,SUM(R5:R11))</f>
        <v/>
      </c>
      <c r="S12" s="21" t="inlineStr"/>
      <c r="T12" s="21" t="inlineStr"/>
      <c r="U12" s="21" t="inlineStr"/>
      <c r="V12" s="22">
        <f>MIN(100,SUM(V5:V11))</f>
        <v/>
      </c>
    </row>
    <row r="14">
      <c r="A14" s="2" t="inlineStr">
        <is>
          <t>Worked example (same as printed scheme)</t>
        </is>
      </c>
    </row>
    <row r="15">
      <c r="A15" s="10" t="inlineStr">
        <is>
          <t>KPI</t>
        </is>
      </c>
      <c r="B15" s="10" t="inlineStr">
        <is>
          <t>Calculation</t>
        </is>
      </c>
      <c r="C15" s="23" t="n"/>
      <c r="D15" s="23" t="n"/>
      <c r="E15" s="23" t="n"/>
      <c r="F15" s="23" t="n"/>
      <c r="G15" s="24" t="n"/>
    </row>
    <row r="16">
      <c r="A16" s="3" t="inlineStr">
        <is>
          <t>OEE</t>
        </is>
      </c>
      <c r="B16" s="3" t="inlineStr">
        <is>
          <t>Target 82%, Actual 78% → Score = 78/82×100 = 95.1% → Weighted = 95.1×20% = 19.0</t>
        </is>
      </c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4" t="n"/>
    </row>
    <row r="17">
      <c r="A17" s="3" t="inlineStr">
        <is>
          <t>Breakdown Frequency</t>
        </is>
      </c>
      <c r="B17" s="3" t="inlineStr">
        <is>
          <t>Target 15 (or 10 in example), Actual 9 → Score = MIN(100, 10/9×100) = 100% → Weighted = 10.0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4" t="n"/>
    </row>
    <row r="18">
      <c r="A18" s="3" t="inlineStr">
        <is>
          <t>Breakdown Hours</t>
        </is>
      </c>
      <c r="B18" s="3" t="inlineStr">
        <is>
          <t>Target 20, Actual 18 → Score = MIN(100, 20/18×100) = 100% → Weighted = 15.0</t>
        </is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4" t="n"/>
    </row>
    <row r="19">
      <c r="A19" s="3" t="inlineStr">
        <is>
          <t>PM Compliance</t>
        </is>
      </c>
      <c r="B19" s="3" t="inlineStr">
        <is>
          <t>Target 98%, Actual 96% → Score = 96/98×100 = 98.0% → Weighted = 19.6</t>
        </is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4" t="n"/>
    </row>
    <row r="20">
      <c r="A20" s="3" t="inlineStr">
        <is>
          <t>MTTR</t>
        </is>
      </c>
      <c r="B20" s="3" t="inlineStr">
        <is>
          <t>Target 2.5h, Actual 3.0h → Score = 2.5/3.0×100 = 83.3% → Weighted = 12.5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4" t="n"/>
    </row>
    <row r="21">
      <c r="A21" s="3" t="inlineStr">
        <is>
          <t>MTBF</t>
        </is>
      </c>
      <c r="B21" s="3" t="inlineStr">
        <is>
          <t>Target 150h, Actual 160h → Score = MIN(100, 160/150×100) = 100% → Weighted = 10.0</t>
        </is>
      </c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4" t="n"/>
    </row>
    <row r="22">
      <c r="A22" s="3" t="inlineStr">
        <is>
          <t>Safety</t>
        </is>
      </c>
      <c r="B22" s="3" t="inlineStr">
        <is>
          <t>Zero LTI → Score = 100% → Weighted = 10.0</t>
        </is>
      </c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4" t="n"/>
    </row>
    <row r="23">
      <c r="A23" s="3" t="inlineStr">
        <is>
          <t>TOTAL</t>
        </is>
      </c>
      <c r="B23" s="3" t="inlineStr">
        <is>
          <t>19+10+15+19.6+12.5+10+10 = 96.1% Final KPI Score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4" t="n"/>
    </row>
  </sheetData>
  <mergeCells count="15">
    <mergeCell ref="C3:F3"/>
    <mergeCell ref="S3:V3"/>
    <mergeCell ref="G3:J3"/>
    <mergeCell ref="B21:L21"/>
    <mergeCell ref="K3:N3"/>
    <mergeCell ref="B16:L16"/>
    <mergeCell ref="A1:L1"/>
    <mergeCell ref="O3:R3"/>
    <mergeCell ref="B23:L23"/>
    <mergeCell ref="B19:L19"/>
    <mergeCell ref="B20:L20"/>
    <mergeCell ref="B17:L17"/>
    <mergeCell ref="B22:L22"/>
    <mergeCell ref="B15:G15"/>
    <mergeCell ref="B18:L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20" customWidth="1" min="3" max="3"/>
    <col width="14" customWidth="1" min="4" max="4"/>
    <col width="14" customWidth="1" min="5" max="5"/>
  </cols>
  <sheetData>
    <row r="1">
      <c r="A1" s="1" t="inlineStr">
        <is>
          <t>PLANT SUMMARY &amp; BONUS PAYOUT</t>
        </is>
      </c>
    </row>
    <row r="3">
      <c r="A3" s="10" t="inlineStr">
        <is>
          <t>Line</t>
        </is>
      </c>
      <c r="B3" s="10" t="inlineStr">
        <is>
          <t>KPI Score %</t>
        </is>
      </c>
    </row>
    <row r="4">
      <c r="A4" s="3" t="inlineStr">
        <is>
          <t>P1 — Pancake</t>
        </is>
      </c>
      <c r="B4" s="17">
        <f>'2_KPI_Scorecard'!F12</f>
        <v/>
      </c>
    </row>
    <row r="5">
      <c r="A5" s="3" t="inlineStr">
        <is>
          <t>T1 — Tortilla wrap</t>
        </is>
      </c>
      <c r="B5" s="17">
        <f>'2_KPI_Scorecard'!J12</f>
        <v/>
      </c>
    </row>
    <row r="6">
      <c r="A6" s="3" t="inlineStr">
        <is>
          <t>T2 — Tortilla wrap</t>
        </is>
      </c>
      <c r="B6" s="17">
        <f>'2_KPI_Scorecard'!N12</f>
        <v/>
      </c>
    </row>
    <row r="7">
      <c r="A7" s="3" t="inlineStr">
        <is>
          <t>L8 — Line L8</t>
        </is>
      </c>
      <c r="B7" s="17">
        <f>'2_KPI_Scorecard'!R12</f>
        <v/>
      </c>
    </row>
    <row r="8">
      <c r="A8" s="3" t="inlineStr">
        <is>
          <t>L9 — Line L9</t>
        </is>
      </c>
      <c r="B8" s="17">
        <f>'2_KPI_Scorecard'!V12</f>
        <v/>
      </c>
    </row>
    <row r="9">
      <c r="A9" t="inlineStr">
        <is>
          <t>Plant score (average of lines) %</t>
        </is>
      </c>
      <c r="B9" s="25">
        <f>AVERAGE(B4:B8)</f>
        <v/>
      </c>
    </row>
    <row r="11">
      <c r="A11" s="2" t="inlineStr">
        <is>
          <t>GATEKEEPERS (auto from Actuals)</t>
        </is>
      </c>
    </row>
    <row r="12">
      <c r="A12" t="inlineStr">
        <is>
          <t>Total LTI (all lines)</t>
        </is>
      </c>
      <c r="B12" s="26">
        <f>SUM('1_Actuals_Input'!C16:G16)</f>
        <v/>
      </c>
    </row>
    <row r="13">
      <c r="A13" t="inlineStr">
        <is>
          <t>Any major safety violation?</t>
        </is>
      </c>
      <c r="B13" s="26">
        <f>IF(SUM('1_Actuals_Input'!C17:G17)&gt;0,"YES","NO")</f>
        <v/>
      </c>
    </row>
    <row r="14">
      <c r="A14" t="inlineStr">
        <is>
          <t>Any major EPW?</t>
        </is>
      </c>
      <c r="B14" s="26">
        <f>IF(SUM('1_Actuals_Input'!C18:G18)&gt;0,"YES","NO")</f>
        <v/>
      </c>
    </row>
    <row r="15">
      <c r="A15" t="inlineStr">
        <is>
          <t>Any dishonest reporting?</t>
        </is>
      </c>
      <c r="B15" s="26">
        <f>IF(SUM('1_Actuals_Input'!C19:G19)&gt;0,"YES","NO")</f>
        <v/>
      </c>
    </row>
    <row r="16">
      <c r="A16" t="inlineStr">
        <is>
          <t>Any red audit?</t>
        </is>
      </c>
      <c r="B16" s="26">
        <f>IF(COUNTIF('1_Actuals_Input'!C20:G20,"red")&gt;0,"YES","NO")</f>
        <v/>
      </c>
    </row>
    <row r="17">
      <c r="A17" t="inlineStr">
        <is>
          <t>Any green audit?</t>
        </is>
      </c>
      <c r="B17" s="26">
        <f>IF(COUNTIF('1_Actuals_Input'!C20:G20,"green")&gt;0,"YES","NO")</f>
        <v/>
      </c>
    </row>
    <row r="19">
      <c r="A19" s="27" t="inlineStr">
        <is>
          <t>FINAL BONUS SCORE %</t>
        </is>
      </c>
      <c r="B19" s="28">
        <f>IF(OR(B13="YES",B14="YES",B15="YES"),0,IF(B12&gt;0,B9*0.5,B9)*IF(B16="YES",0.5,1))</f>
        <v/>
      </c>
    </row>
    <row r="20">
      <c r="A20" s="9" t="inlineStr">
        <is>
          <t>Note: Green audit → ask manager for extra reward amount on top of this score.</t>
        </is>
      </c>
    </row>
    <row r="22">
      <c r="A22" s="2" t="inlineStr">
        <is>
          <t>BONUS PAYOUT = Opportunity × Final Bonus Score %</t>
        </is>
      </c>
    </row>
    <row r="23">
      <c r="A23" s="10" t="inlineStr">
        <is>
          <t>Shift</t>
        </is>
      </c>
      <c r="B23" s="10" t="inlineStr">
        <is>
          <t>Role</t>
        </is>
      </c>
      <c r="C23" s="10" t="inlineStr">
        <is>
          <t>Monthly opportunity</t>
        </is>
      </c>
      <c r="D23" s="10" t="inlineStr">
        <is>
          <t>Final score %</t>
        </is>
      </c>
      <c r="E23" s="10" t="inlineStr">
        <is>
          <t>Payout</t>
        </is>
      </c>
    </row>
    <row r="24">
      <c r="A24" s="3" t="inlineStr">
        <is>
          <t>Day</t>
        </is>
      </c>
      <c r="B24" s="3" t="inlineStr">
        <is>
          <t>Head of department</t>
        </is>
      </c>
      <c r="C24" s="29" t="n">
        <v>1235</v>
      </c>
      <c r="D24" s="17">
        <f>$B$19</f>
        <v/>
      </c>
      <c r="E24" s="30">
        <f>C24*D24/100</f>
        <v/>
      </c>
    </row>
    <row r="25">
      <c r="A25" s="3" t="inlineStr">
        <is>
          <t>Day</t>
        </is>
      </c>
      <c r="B25" s="3" t="inlineStr">
        <is>
          <t>Managers</t>
        </is>
      </c>
      <c r="C25" s="29" t="n">
        <v>918</v>
      </c>
      <c r="D25" s="17">
        <f>$B$19</f>
        <v/>
      </c>
      <c r="E25" s="30">
        <f>C25*D25/100</f>
        <v/>
      </c>
    </row>
    <row r="26">
      <c r="A26" s="3" t="inlineStr">
        <is>
          <t>Day</t>
        </is>
      </c>
      <c r="B26" s="3" t="inlineStr">
        <is>
          <t>Team leaders</t>
        </is>
      </c>
      <c r="C26" s="29" t="n">
        <v>810</v>
      </c>
      <c r="D26" s="17">
        <f>$B$19</f>
        <v/>
      </c>
      <c r="E26" s="30">
        <f>C26*D26/100</f>
        <v/>
      </c>
    </row>
    <row r="27">
      <c r="A27" s="3" t="inlineStr">
        <is>
          <t>Day</t>
        </is>
      </c>
      <c r="B27" s="3" t="inlineStr">
        <is>
          <t>Multi-skilled</t>
        </is>
      </c>
      <c r="C27" s="29" t="n">
        <v>486</v>
      </c>
      <c r="D27" s="17">
        <f>$B$19</f>
        <v/>
      </c>
      <c r="E27" s="30">
        <f>C27*D27/100</f>
        <v/>
      </c>
    </row>
    <row r="28">
      <c r="A28" s="3" t="inlineStr">
        <is>
          <t>Day</t>
        </is>
      </c>
      <c r="B28" s="3" t="inlineStr">
        <is>
          <t>Mech/Elec/Maint eng / Control / Electrician</t>
        </is>
      </c>
      <c r="C28" s="29" t="n">
        <v>324</v>
      </c>
      <c r="D28" s="17">
        <f>$B$19</f>
        <v/>
      </c>
      <c r="E28" s="30">
        <f>C28*D28/100</f>
        <v/>
      </c>
    </row>
    <row r="29">
      <c r="A29" s="3" t="inlineStr">
        <is>
          <t>Day</t>
        </is>
      </c>
      <c r="B29" s="3" t="inlineStr">
        <is>
          <t>Handyman / Electrician mate</t>
        </is>
      </c>
      <c r="C29" s="29" t="n">
        <v>243</v>
      </c>
      <c r="D29" s="17">
        <f>$B$19</f>
        <v/>
      </c>
      <c r="E29" s="30">
        <f>C29*D29/100</f>
        <v/>
      </c>
    </row>
    <row r="30">
      <c r="A30" s="3" t="inlineStr">
        <is>
          <t>Night</t>
        </is>
      </c>
      <c r="B30" s="3" t="inlineStr">
        <is>
          <t>Team leaders</t>
        </is>
      </c>
      <c r="C30" s="29" t="n">
        <v>1020</v>
      </c>
      <c r="D30" s="17">
        <f>$B$19</f>
        <v/>
      </c>
      <c r="E30" s="30">
        <f>C30*D30/100</f>
        <v/>
      </c>
    </row>
    <row r="31">
      <c r="A31" s="3" t="inlineStr">
        <is>
          <t>Night</t>
        </is>
      </c>
      <c r="B31" s="3" t="inlineStr">
        <is>
          <t>Multi-skilled</t>
        </is>
      </c>
      <c r="C31" s="29" t="n">
        <v>900</v>
      </c>
      <c r="D31" s="17">
        <f>$B$19</f>
        <v/>
      </c>
      <c r="E31" s="30">
        <f>C31*D31/100</f>
        <v/>
      </c>
    </row>
    <row r="32">
      <c r="A32" s="3" t="inlineStr">
        <is>
          <t>Night</t>
        </is>
      </c>
      <c r="B32" s="3" t="inlineStr">
        <is>
          <t>Mech/Elec/Maint eng / Control / Electrician</t>
        </is>
      </c>
      <c r="C32" s="29" t="n">
        <v>540</v>
      </c>
      <c r="D32" s="17">
        <f>$B$19</f>
        <v/>
      </c>
      <c r="E32" s="30">
        <f>C32*D32/100</f>
        <v/>
      </c>
    </row>
    <row r="33">
      <c r="A33" s="3" t="inlineStr">
        <is>
          <t>Night</t>
        </is>
      </c>
      <c r="B33" s="3" t="inlineStr">
        <is>
          <t>Handyman / Electrician mate</t>
        </is>
      </c>
      <c r="C33" s="29" t="n">
        <v>360</v>
      </c>
      <c r="D33" s="17">
        <f>$B$19</f>
        <v/>
      </c>
      <c r="E33" s="30">
        <f>C33*D33/100</f>
        <v/>
      </c>
    </row>
    <row r="34">
      <c r="A34" s="3" t="inlineStr">
        <is>
          <t>Night</t>
        </is>
      </c>
      <c r="B34" s="3" t="inlineStr">
        <is>
          <t>Junior / mate</t>
        </is>
      </c>
      <c r="C34" s="29" t="n">
        <v>270</v>
      </c>
      <c r="D34" s="17">
        <f>$B$19</f>
        <v/>
      </c>
      <c r="E34" s="30">
        <f>C34*D34/100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40" customWidth="1" min="3" max="3"/>
  </cols>
  <sheetData>
    <row r="1">
      <c r="A1" s="1" t="inlineStr">
        <is>
          <t>Copy-paste formulas for a single line (example: P1 in column C of Actuals)</t>
        </is>
      </c>
    </row>
    <row r="3">
      <c r="A3" s="7" t="inlineStr">
        <is>
          <t>Metric</t>
        </is>
      </c>
      <c r="B3" s="7" t="inlineStr">
        <is>
          <t>Excel formula</t>
        </is>
      </c>
      <c r="C3" s="7" t="inlineStr">
        <is>
          <t>Notes</t>
        </is>
      </c>
    </row>
    <row r="4">
      <c r="A4" s="8" t="inlineStr">
        <is>
          <t>Availability</t>
        </is>
      </c>
      <c r="B4" s="8">
        <f>C7/C6</f>
        <v/>
      </c>
      <c r="C4" s="8" t="inlineStr">
        <is>
          <t>Actual operating ÷ Planned</t>
        </is>
      </c>
    </row>
    <row r="5">
      <c r="A5" s="8" t="inlineStr">
        <is>
          <t>Performance</t>
        </is>
      </c>
      <c r="B5" s="8">
        <f>(C9/C7)/C8</f>
        <v/>
      </c>
      <c r="C5" s="8" t="inlineStr">
        <is>
          <t>Actual rate ÷ Ideal rate</t>
        </is>
      </c>
    </row>
    <row r="6">
      <c r="A6" s="8" t="inlineStr">
        <is>
          <t>Quality</t>
        </is>
      </c>
      <c r="B6" s="8">
        <f>C10/C9</f>
        <v/>
      </c>
      <c r="C6" s="8" t="inlineStr">
        <is>
          <t>Good ÷ Total units</t>
        </is>
      </c>
    </row>
    <row r="7">
      <c r="A7" s="8" t="inlineStr">
        <is>
          <t>OEE %</t>
        </is>
      </c>
      <c r="B7" s="8">
        <f>Availability*Performance*Quality*100</f>
        <v/>
      </c>
      <c r="C7" s="8" t="inlineStr">
        <is>
          <t>Or one formula combining above</t>
        </is>
      </c>
    </row>
    <row r="8">
      <c r="A8" s="8" t="inlineStr">
        <is>
          <t>OEE Score %</t>
        </is>
      </c>
      <c r="B8" s="8">
        <f>MIN(100, OEE_Actual/82*100)</f>
        <v/>
      </c>
      <c r="C8" s="8" t="inlineStr">
        <is>
          <t>Higher is better</t>
        </is>
      </c>
    </row>
    <row r="9">
      <c r="A9" s="8" t="inlineStr">
        <is>
          <t>OEE Weighted</t>
        </is>
      </c>
      <c r="B9" s="8">
        <f>OEE_Score * 0.20</f>
        <v/>
      </c>
      <c r="C9" s="8" t="inlineStr">
        <is>
          <t>Weight 20%</t>
        </is>
      </c>
    </row>
    <row r="10">
      <c r="A10" s="8" t="inlineStr">
        <is>
          <t>BF Score %</t>
        </is>
      </c>
      <c r="B10" s="8">
        <f>IF(C11=0,100,MIN(100,15/C11*100))</f>
        <v/>
      </c>
      <c r="C10" s="8" t="inlineStr">
        <is>
          <t>Lower is better; Year1 target 15</t>
        </is>
      </c>
    </row>
    <row r="11">
      <c r="A11" s="8" t="inlineStr">
        <is>
          <t>BF Weighted</t>
        </is>
      </c>
      <c r="B11" s="8">
        <f>BF_Score * 0.10</f>
        <v/>
      </c>
      <c r="C11" s="8" t="inlineStr">
        <is>
          <t>Weight 10%</t>
        </is>
      </c>
    </row>
    <row r="12">
      <c r="A12" s="8" t="inlineStr">
        <is>
          <t>BH Score %</t>
        </is>
      </c>
      <c r="B12" s="8">
        <f>IF(C12=0,100,MIN(100,20/C12*100))</f>
        <v/>
      </c>
      <c r="C12" s="8" t="inlineStr">
        <is>
          <t>Year1 target 20 hours</t>
        </is>
      </c>
    </row>
    <row r="13">
      <c r="A13" s="8" t="inlineStr">
        <is>
          <t>BH Weighted</t>
        </is>
      </c>
      <c r="B13" s="8">
        <f>BH_Score * 0.15</f>
        <v/>
      </c>
      <c r="C13" s="8" t="inlineStr">
        <is>
          <t>Weight 15%</t>
        </is>
      </c>
    </row>
    <row r="14">
      <c r="A14" s="8" t="inlineStr">
        <is>
          <t>PM % Actual</t>
        </is>
      </c>
      <c r="B14" s="8">
        <f>C14/C13*100</f>
        <v/>
      </c>
      <c r="C14" s="8" t="inlineStr">
        <is>
          <t>Completed on time ÷ Planned</t>
        </is>
      </c>
    </row>
    <row r="15">
      <c r="A15" s="8" t="inlineStr">
        <is>
          <t>PM Score %</t>
        </is>
      </c>
      <c r="B15" s="8">
        <f>MIN(100, PM_Actual/98*100)</f>
        <v/>
      </c>
      <c r="C15" s="8" t="inlineStr">
        <is>
          <t>Year1 target 98%</t>
        </is>
      </c>
    </row>
    <row r="16">
      <c r="A16" s="8" t="inlineStr">
        <is>
          <t>PM Weighted</t>
        </is>
      </c>
      <c r="B16" s="8">
        <f>PM_Score * 0.20</f>
        <v/>
      </c>
      <c r="C16" s="8" t="inlineStr">
        <is>
          <t>Weight 20%</t>
        </is>
      </c>
    </row>
    <row r="17">
      <c r="A17" s="8" t="inlineStr">
        <is>
          <t>MTTR Actual</t>
        </is>
      </c>
      <c r="B17" s="8">
        <f>IF(C11=0,0,C12/C11)</f>
        <v/>
      </c>
      <c r="C17" s="8" t="inlineStr">
        <is>
          <t>Breakdown hours ÷ count</t>
        </is>
      </c>
    </row>
    <row r="18">
      <c r="A18" s="8" t="inlineStr">
        <is>
          <t>MTTR Score %</t>
        </is>
      </c>
      <c r="B18" s="8">
        <f>IF(MTTR=0,100,MIN(100,2.5/MTTR*100))</f>
        <v/>
      </c>
      <c r="C18" s="8" t="inlineStr">
        <is>
          <t>Year1 target 2.5 hours</t>
        </is>
      </c>
    </row>
    <row r="19">
      <c r="A19" s="8" t="inlineStr">
        <is>
          <t>MTTR Weighted</t>
        </is>
      </c>
      <c r="B19" s="8">
        <f>MTTR_Score * 0.15</f>
        <v/>
      </c>
      <c r="C19" s="8" t="inlineStr">
        <is>
          <t>Weight 15%</t>
        </is>
      </c>
    </row>
    <row r="20">
      <c r="A20" s="8" t="inlineStr">
        <is>
          <t>MTBF Actual</t>
        </is>
      </c>
      <c r="B20" s="8">
        <f>IF(C11=0,C15,C15/C11)</f>
        <v/>
      </c>
      <c r="C20" s="8" t="inlineStr">
        <is>
          <t>Operational hours ÷ failures</t>
        </is>
      </c>
    </row>
    <row r="21">
      <c r="A21" s="8" t="inlineStr">
        <is>
          <t>MTBF Score %</t>
        </is>
      </c>
      <c r="B21" s="8">
        <f>MIN(100, MTBF/150*100)</f>
        <v/>
      </c>
      <c r="C21" s="8" t="inlineStr">
        <is>
          <t>Year1 target 150 hours</t>
        </is>
      </c>
    </row>
    <row r="22">
      <c r="A22" s="8" t="inlineStr">
        <is>
          <t>MTBF Weighted</t>
        </is>
      </c>
      <c r="B22" s="8">
        <f>MTBF_Score * 0.10</f>
        <v/>
      </c>
      <c r="C22" s="8" t="inlineStr">
        <is>
          <t>Weight 10%</t>
        </is>
      </c>
    </row>
    <row r="23">
      <c r="A23" s="8" t="inlineStr">
        <is>
          <t>Safety Score %</t>
        </is>
      </c>
      <c r="B23" s="8">
        <f>IF(C16=0,100,0)</f>
        <v/>
      </c>
      <c r="C23" s="8" t="inlineStr">
        <is>
          <t>Zero LTI = 100%</t>
        </is>
      </c>
    </row>
    <row r="24">
      <c r="A24" s="8" t="inlineStr">
        <is>
          <t>Safety Weighted</t>
        </is>
      </c>
      <c r="B24" s="8">
        <f>Safety_Score * 0.10</f>
        <v/>
      </c>
      <c r="C24" s="8" t="inlineStr">
        <is>
          <t>Weight 10%</t>
        </is>
      </c>
    </row>
    <row r="25">
      <c r="A25" s="8" t="inlineStr">
        <is>
          <t>Line KPI Score</t>
        </is>
      </c>
      <c r="B25" s="8">
        <f>MIN(100, SUM of all Weighted)</f>
        <v/>
      </c>
      <c r="C25" s="8" t="inlineStr">
        <is>
          <t>Capped at 100%</t>
        </is>
      </c>
    </row>
    <row r="26">
      <c r="A26" s="8" t="inlineStr">
        <is>
          <t>Bonus payout</t>
        </is>
      </c>
      <c r="B26" s="8">
        <f>Opportunity * LineOrPlantScore / 100</f>
        <v/>
      </c>
      <c r="C26" s="8" t="inlineStr">
        <is>
          <t>e.g. 324 * 96.1%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2026-08-06T09:35:56Z</dcterms:created>
  <dcterms:modified xsi:type="dcterms:W3CDTF">2026-08-06T09:35:56Z</dcterms:modified>
</cp:coreProperties>
</file>