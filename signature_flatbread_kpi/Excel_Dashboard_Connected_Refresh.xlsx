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ource_Data" sheetId="2" state="visible" r:id="rId2"/>
    <sheet name="Calc" sheetId="3" state="visible" r:id="rId3"/>
    <sheet name="How_To_Connect_Refres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£#,##0.00"/>
  </numFmts>
  <fonts count="11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sz val="12"/>
    </font>
    <font>
      <b val="1"/>
      <color rgb="00FFFFFF"/>
    </font>
    <font>
      <b val="1"/>
      <color rgb="001F4E79"/>
      <sz val="13"/>
    </font>
    <font>
      <b val="1"/>
      <sz val="14"/>
    </font>
    <font>
      <b val="1"/>
      <color rgb="00C00000"/>
    </font>
    <font>
      <b val="1"/>
      <color rgb="00006100"/>
      <sz val="20"/>
    </font>
    <font>
      <b val="1"/>
      <color rgb="001F4E79"/>
      <sz val="16"/>
    </font>
    <font>
      <color rgb="00666666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5" fillId="7" borderId="0" pivotButton="0" quotePrefix="0" xfId="0"/>
    <xf numFmtId="164" fontId="7" fillId="6" borderId="0" pivotButton="0" quotePrefix="0" xfId="0"/>
    <xf numFmtId="165" fontId="2" fillId="7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6" borderId="0" pivotButton="0" quotePrefix="0" xfId="0"/>
    <xf numFmtId="0" fontId="0" fillId="0" borderId="1" pivotButton="0" quotePrefix="0" xfId="0"/>
    <xf numFmtId="2" fontId="1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3" fillId="3" borderId="0" pivotButton="0" quotePrefix="0" xfId="0"/>
    <xf numFmtId="0" fontId="2" fillId="2" borderId="1" pivotButton="0" quotePrefix="0" xfId="0"/>
    <xf numFmtId="2" fontId="0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9" fontId="0" fillId="4" borderId="1" pivotButton="0" quotePrefix="0" xfId="0"/>
    <xf numFmtId="2" fontId="0" fillId="5" borderId="0" pivotButton="0" quotePrefix="0" xfId="0"/>
    <xf numFmtId="2" fontId="5" fillId="6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KPI Score % by Line (connected)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'Dashboard'!B21</f>
            </strRef>
          </tx>
          <spPr>
            <a:ln>
              <a:prstDash val="solid"/>
            </a:ln>
          </spPr>
          <cat>
            <numRef>
              <f>'Dashboard'!$A$22:$A$26</f>
            </numRef>
          </cat>
          <val>
            <numRef>
              <f>'Dashboard'!$B$22:$B$26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KPI_Source" displayName="KPI_Source" ref="A4:I9" headerRowCount="1">
  <autoFilter ref="A4:I9"/>
  <tableColumns count="9">
    <tableColumn id="1" name="Line"/>
    <tableColumn id="2" name="Name"/>
    <tableColumn id="3" name="OEE_pct"/>
    <tableColumn id="4" name="BF_count"/>
    <tableColumn id="5" name="BH_hours"/>
    <tableColumn id="6" name="PM_pct"/>
    <tableColumn id="7" name="MTTR_hrs"/>
    <tableColumn id="8" name="MTBF_hrs"/>
    <tableColumn id="9" name="LTI"/>
  </tableColumns>
  <tableStyleInfo name="TableStyleMedium2" showRowStripes="1"/>
</table>
</file>

<file path=xl/tables/table2.xml><?xml version="1.0" encoding="utf-8"?>
<table xmlns="http://schemas.openxmlformats.org/spreadsheetml/2006/main" id="2" name="KPI_Targets" displayName="KPI_Targets" ref="A13:D20" headerRowCount="1">
  <autoFilter ref="A13:D20"/>
  <tableColumns count="4">
    <tableColumn id="1" name="KPI"/>
    <tableColumn id="2" name="Target"/>
    <tableColumn id="3" name="Weight"/>
    <tableColumn id="4" name="Direction"/>
  </tableColumns>
  <tableStyleInfo name="TableStyleMedium9" showRowStripes="1"/>
</table>
</file>

<file path=xl/tables/table3.xml><?xml version="1.0" encoding="utf-8"?>
<table xmlns="http://schemas.openxmlformats.org/spreadsheetml/2006/main" id="3" name="KPI_Calc" displayName="KPI_Calc" ref="A2:Q7" headerRowCount="1">
  <autoFilter ref="A2:Q7"/>
  <tableColumns count="17">
    <tableColumn id="1" name="Line"/>
    <tableColumn id="2" name="Name"/>
    <tableColumn id="3" name="OEE_Score"/>
    <tableColumn id="4" name="BF_Score"/>
    <tableColumn id="5" name="BH_Score"/>
    <tableColumn id="6" name="PM_Score"/>
    <tableColumn id="7" name="MTTR_Score"/>
    <tableColumn id="8" name="MTBF_Score"/>
    <tableColumn id="9" name="Safety_Score"/>
    <tableColumn id="10" name="OEE_W"/>
    <tableColumn id="11" name="BF_W"/>
    <tableColumn id="12" name="BH_W"/>
    <tableColumn id="13" name="PM_W"/>
    <tableColumn id="14" name="MTTR_W"/>
    <tableColumn id="15" name="MTBF_W"/>
    <tableColumn id="16" name="Safety_W"/>
    <tableColumn id="17" name="TOTAL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SIGNATURE FLATBREADS — KPI DASHBOARD (CONNECTED)</t>
        </is>
      </c>
    </row>
    <row r="2">
      <c r="A2" s="2" t="inlineStr">
        <is>
          <t>HOW TO REFRESH:</t>
        </is>
      </c>
      <c r="B2" s="3" t="inlineStr">
        <is>
          <t>1) Update Source_Data  →  2) Click Dashboard  →  3) Data → Refresh All  (or Ctrl+Alt+F5)</t>
        </is>
      </c>
    </row>
    <row r="4">
      <c r="A4" t="inlineStr">
        <is>
          <t>Month</t>
        </is>
      </c>
      <c r="B4" s="4">
        <f>Source_Data!B2</f>
        <v/>
      </c>
      <c r="C4" t="inlineStr">
        <is>
          <t>Plant Score %</t>
        </is>
      </c>
      <c r="D4" s="5">
        <f>Calc!Q9</f>
        <v/>
      </c>
      <c r="E4" t="inlineStr">
        <is>
          <t>Bonus £ (324 opp.)</t>
        </is>
      </c>
      <c r="F4" s="6">
        <f>324*Calc!Q9/100</f>
        <v/>
      </c>
    </row>
    <row r="6">
      <c r="A6" s="7" t="inlineStr">
        <is>
          <t>CONNECTED KPI CARDS</t>
        </is>
      </c>
    </row>
    <row r="7">
      <c r="A7" s="8" t="inlineStr">
        <is>
          <t>OEE %</t>
        </is>
      </c>
      <c r="B7" s="9" t="n"/>
      <c r="C7" s="8" t="inlineStr">
        <is>
          <t>BF</t>
        </is>
      </c>
      <c r="D7" s="9" t="n"/>
      <c r="E7" s="8" t="inlineStr">
        <is>
          <t>BH hrs</t>
        </is>
      </c>
      <c r="F7" s="9" t="n"/>
      <c r="G7" s="8" t="inlineStr">
        <is>
          <t>PM %</t>
        </is>
      </c>
      <c r="H7" s="9" t="n"/>
      <c r="I7" s="8" t="inlineStr">
        <is>
          <t>MTTR</t>
        </is>
      </c>
      <c r="J7" s="9" t="n"/>
      <c r="K7" s="8" t="inlineStr">
        <is>
          <t>MTBF</t>
        </is>
      </c>
      <c r="L7" s="9" t="n"/>
    </row>
    <row r="8" ht="30" customHeight="1">
      <c r="A8" s="10">
        <f>ROUND(Calc!B11,1)</f>
        <v/>
      </c>
      <c r="B8" s="11" t="n"/>
      <c r="C8" s="10">
        <f>ROUND(Calc!B12,1)</f>
        <v/>
      </c>
      <c r="D8" s="11" t="n"/>
      <c r="E8" s="10">
        <f>ROUND(Calc!B13,1)</f>
        <v/>
      </c>
      <c r="F8" s="11" t="n"/>
      <c r="G8" s="10">
        <f>ROUND(Calc!B14,1)</f>
        <v/>
      </c>
      <c r="H8" s="11" t="n"/>
      <c r="I8" s="10">
        <f>ROUND(Calc!B15,2)</f>
        <v/>
      </c>
      <c r="J8" s="11" t="n"/>
      <c r="K8" s="10">
        <f>ROUND(Calc!B16,1)</f>
        <v/>
      </c>
      <c r="L8" s="11" t="n"/>
    </row>
    <row r="9">
      <c r="A9" s="12" t="inlineStr">
        <is>
          <t>Target 82</t>
        </is>
      </c>
      <c r="B9" s="13" t="n"/>
      <c r="C9" s="12" t="inlineStr">
        <is>
          <t>Target ≤15</t>
        </is>
      </c>
      <c r="D9" s="13" t="n"/>
      <c r="E9" s="12" t="inlineStr">
        <is>
          <t>Target ≤20</t>
        </is>
      </c>
      <c r="F9" s="13" t="n"/>
      <c r="G9" s="12" t="inlineStr">
        <is>
          <t>Target ≥98</t>
        </is>
      </c>
      <c r="H9" s="13" t="n"/>
      <c r="I9" s="12" t="inlineStr">
        <is>
          <t>Target &lt;2.5</t>
        </is>
      </c>
      <c r="J9" s="13" t="n"/>
      <c r="K9" s="12" t="inlineStr">
        <is>
          <t>Target &gt;150</t>
        </is>
      </c>
      <c r="L9" s="13" t="n"/>
    </row>
    <row r="10">
      <c r="A10" t="inlineStr">
        <is>
          <t>Safety LTI:</t>
        </is>
      </c>
      <c r="B10" s="14">
        <f>Calc!B17</f>
        <v/>
      </c>
      <c r="C10">
        <f>IF(B10=0,"PASS","FAIL — bonus may cut 50%")</f>
        <v/>
      </c>
    </row>
    <row r="12">
      <c r="A12" s="7" t="inlineStr">
        <is>
          <t>LINE SCORES (live link to Calc)</t>
        </is>
      </c>
    </row>
    <row r="13">
      <c r="A13" s="8" t="inlineStr">
        <is>
          <t>Line</t>
        </is>
      </c>
      <c r="B13" s="8" t="inlineStr">
        <is>
          <t>Name</t>
        </is>
      </c>
      <c r="C13" s="8" t="inlineStr">
        <is>
          <t>Total Score %</t>
        </is>
      </c>
      <c r="D13" s="8" t="inlineStr">
        <is>
          <t>Status</t>
        </is>
      </c>
    </row>
    <row r="14">
      <c r="A14" s="15">
        <f>Calc!A3</f>
        <v/>
      </c>
      <c r="B14" s="15">
        <f>Calc!B3</f>
        <v/>
      </c>
      <c r="C14" s="16">
        <f>Calc!Q3</f>
        <v/>
      </c>
      <c r="D14" s="17">
        <f>IF(C14&gt;=90,"Good",IF(C14&gt;=80,"OK","Needs focus"))</f>
        <v/>
      </c>
    </row>
    <row r="15">
      <c r="A15" s="15">
        <f>Calc!A4</f>
        <v/>
      </c>
      <c r="B15" s="15">
        <f>Calc!B4</f>
        <v/>
      </c>
      <c r="C15" s="16">
        <f>Calc!Q4</f>
        <v/>
      </c>
      <c r="D15" s="17">
        <f>IF(C15&gt;=90,"Good",IF(C15&gt;=80,"OK","Needs focus"))</f>
        <v/>
      </c>
    </row>
    <row r="16">
      <c r="A16" s="15">
        <f>Calc!A5</f>
        <v/>
      </c>
      <c r="B16" s="15">
        <f>Calc!B5</f>
        <v/>
      </c>
      <c r="C16" s="16">
        <f>Calc!Q5</f>
        <v/>
      </c>
      <c r="D16" s="17">
        <f>IF(C16&gt;=90,"Good",IF(C16&gt;=80,"OK","Needs focus"))</f>
        <v/>
      </c>
    </row>
    <row r="17">
      <c r="A17" s="15">
        <f>Calc!A6</f>
        <v/>
      </c>
      <c r="B17" s="15">
        <f>Calc!B6</f>
        <v/>
      </c>
      <c r="C17" s="16">
        <f>Calc!Q6</f>
        <v/>
      </c>
      <c r="D17" s="17">
        <f>IF(C17&gt;=90,"Good",IF(C17&gt;=80,"OK","Needs focus"))</f>
        <v/>
      </c>
    </row>
    <row r="18">
      <c r="A18" s="15">
        <f>Calc!A7</f>
        <v/>
      </c>
      <c r="B18" s="15">
        <f>Calc!B7</f>
        <v/>
      </c>
      <c r="C18" s="16">
        <f>Calc!Q7</f>
        <v/>
      </c>
      <c r="D18" s="17">
        <f>IF(C18&gt;=90,"Good",IF(C18&gt;=80,"OK","Needs focus"))</f>
        <v/>
      </c>
    </row>
    <row r="21">
      <c r="A21" s="8" t="inlineStr">
        <is>
          <t>Line</t>
        </is>
      </c>
      <c r="B21" s="8" t="inlineStr">
        <is>
          <t>Score</t>
        </is>
      </c>
    </row>
    <row r="22">
      <c r="A22">
        <f>A14</f>
        <v/>
      </c>
      <c r="B22" s="18">
        <f>C14</f>
        <v/>
      </c>
    </row>
    <row r="23">
      <c r="A23">
        <f>A15</f>
        <v/>
      </c>
      <c r="B23" s="18">
        <f>C15</f>
        <v/>
      </c>
    </row>
    <row r="24">
      <c r="A24">
        <f>A16</f>
        <v/>
      </c>
      <c r="B24" s="18">
        <f>C16</f>
        <v/>
      </c>
    </row>
    <row r="25">
      <c r="A25">
        <f>A17</f>
        <v/>
      </c>
      <c r="B25" s="18">
        <f>C17</f>
        <v/>
      </c>
    </row>
    <row r="26">
      <c r="A26">
        <f>A18</f>
        <v/>
      </c>
      <c r="B26" s="18">
        <f>C18</f>
        <v/>
      </c>
    </row>
    <row r="29">
      <c r="A29" s="7" t="inlineStr">
        <is>
          <t>CONNECTION MAP</t>
        </is>
      </c>
    </row>
    <row r="30">
      <c r="A30" t="inlineStr">
        <is>
          <t>Source_Data (KPI_Source)  →  Calc (KPI_Calc)  →  Dashboard + Chart</t>
        </is>
      </c>
    </row>
    <row r="31">
      <c r="A31" t="inlineStr">
        <is>
          <t>Formulas update when Source_Data changes. Use Refresh All for charts/queries.</t>
        </is>
      </c>
    </row>
    <row r="33">
      <c r="A33" s="19" t="inlineStr">
        <is>
          <t>REFRESH CHECKLIST</t>
        </is>
      </c>
    </row>
    <row r="34">
      <c r="A34" t="inlineStr">
        <is>
          <t>Step 1: Update yellow cells on Source_Data</t>
        </is>
      </c>
    </row>
    <row r="35">
      <c r="A35" t="inlineStr">
        <is>
          <t>Step 2: Click Dashboard sheet</t>
        </is>
      </c>
    </row>
    <row r="36">
      <c r="A36" t="inlineStr">
        <is>
          <t>Step 3: Press Ctrl+Alt+F5  OR  Data → Refresh All</t>
        </is>
      </c>
    </row>
    <row r="37">
      <c r="A37" t="inlineStr">
        <is>
          <t>Step 4: Check Plant Score + chart updated</t>
        </is>
      </c>
    </row>
    <row r="38">
      <c r="A38" t="inlineStr">
        <is>
          <t>Optional: File → Options → Formulas → Calculation = Automatic</t>
        </is>
      </c>
    </row>
    <row r="39">
      <c r="A39" t="inlineStr">
        <is>
          <t>Optional auto on open: Data → Queries &amp; Connections → Properties → Refresh when opening file</t>
        </is>
      </c>
    </row>
  </sheetData>
  <mergeCells count="26">
    <mergeCell ref="A37:F37"/>
    <mergeCell ref="K9:L9"/>
    <mergeCell ref="G8:H8"/>
    <mergeCell ref="E8:F8"/>
    <mergeCell ref="A7:B7"/>
    <mergeCell ref="G7:H7"/>
    <mergeCell ref="I7:J7"/>
    <mergeCell ref="B2:L2"/>
    <mergeCell ref="A35:F35"/>
    <mergeCell ref="C9:D9"/>
    <mergeCell ref="E9:F9"/>
    <mergeCell ref="A38:F38"/>
    <mergeCell ref="K8:L8"/>
    <mergeCell ref="A34:F34"/>
    <mergeCell ref="I8:J8"/>
    <mergeCell ref="A8:B8"/>
    <mergeCell ref="A39:F39"/>
    <mergeCell ref="C8:D8"/>
    <mergeCell ref="K7:L7"/>
    <mergeCell ref="C7:D7"/>
    <mergeCell ref="A36:F36"/>
    <mergeCell ref="E7:F7"/>
    <mergeCell ref="A1:L1"/>
    <mergeCell ref="A9:B9"/>
    <mergeCell ref="G9:H9"/>
    <mergeCell ref="I9:J9"/>
  </mergeCells>
  <conditionalFormatting sqref="C14:C18">
    <cfRule type="colorScale" priority="1">
      <colorScale>
        <cfvo type="num" val="70"/>
        <cfvo type="num" val="85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SOURCE DATA (Excel Table). Type/paste new month here — then Refresh Dashboard</t>
        </is>
      </c>
    </row>
    <row r="2">
      <c r="A2" t="inlineStr">
        <is>
          <t>Month</t>
        </is>
      </c>
      <c r="B2" s="20" t="inlineStr">
        <is>
          <t>2026-07</t>
        </is>
      </c>
    </row>
    <row r="4">
      <c r="A4" s="8" t="inlineStr">
        <is>
          <t>Line</t>
        </is>
      </c>
      <c r="B4" s="8" t="inlineStr">
        <is>
          <t>Name</t>
        </is>
      </c>
      <c r="C4" s="8" t="inlineStr">
        <is>
          <t>OEE_pct</t>
        </is>
      </c>
      <c r="D4" s="8" t="inlineStr">
        <is>
          <t>BF_count</t>
        </is>
      </c>
      <c r="E4" s="8" t="inlineStr">
        <is>
          <t>BH_hours</t>
        </is>
      </c>
      <c r="F4" s="8" t="inlineStr">
        <is>
          <t>PM_pct</t>
        </is>
      </c>
      <c r="G4" s="8" t="inlineStr">
        <is>
          <t>MTTR_hrs</t>
        </is>
      </c>
      <c r="H4" s="8" t="inlineStr">
        <is>
          <t>MTBF_hrs</t>
        </is>
      </c>
      <c r="I4" s="8" t="inlineStr">
        <is>
          <t>LTI</t>
        </is>
      </c>
    </row>
    <row r="5">
      <c r="A5" s="15" t="inlineStr">
        <is>
          <t>P1</t>
        </is>
      </c>
      <c r="B5" s="15" t="inlineStr">
        <is>
          <t>Pancake</t>
        </is>
      </c>
      <c r="C5" s="21" t="n">
        <v>80.83</v>
      </c>
      <c r="D5" s="21" t="n">
        <v>12</v>
      </c>
      <c r="E5" s="21" t="n">
        <v>18.5</v>
      </c>
      <c r="F5" s="21" t="n">
        <v>96</v>
      </c>
      <c r="G5" s="21" t="n">
        <v>1.542</v>
      </c>
      <c r="H5" s="21" t="n">
        <v>35</v>
      </c>
      <c r="I5" s="21" t="n">
        <v>0</v>
      </c>
    </row>
    <row r="6">
      <c r="A6" s="15" t="inlineStr">
        <is>
          <t>T1</t>
        </is>
      </c>
      <c r="B6" s="15" t="inlineStr">
        <is>
          <t>Tortilla wrap</t>
        </is>
      </c>
      <c r="C6" s="21" t="n">
        <v>77.58</v>
      </c>
      <c r="D6" s="21" t="n">
        <v>14</v>
      </c>
      <c r="E6" s="21" t="n">
        <v>19</v>
      </c>
      <c r="F6" s="21" t="n">
        <v>96.67</v>
      </c>
      <c r="G6" s="21" t="n">
        <v>1.357</v>
      </c>
      <c r="H6" s="21" t="n">
        <v>28.57</v>
      </c>
      <c r="I6" s="21" t="n">
        <v>0</v>
      </c>
    </row>
    <row r="7">
      <c r="A7" s="15" t="inlineStr">
        <is>
          <t>T2</t>
        </is>
      </c>
      <c r="B7" s="15" t="inlineStr">
        <is>
          <t>Tortilla wrap</t>
        </is>
      </c>
      <c r="C7" s="21" t="n">
        <v>80.65000000000001</v>
      </c>
      <c r="D7" s="21" t="n">
        <v>11</v>
      </c>
      <c r="E7" s="21" t="n">
        <v>16</v>
      </c>
      <c r="F7" s="21" t="n">
        <v>96.43000000000001</v>
      </c>
      <c r="G7" s="21" t="n">
        <v>1.455</v>
      </c>
      <c r="H7" s="21" t="n">
        <v>37.27</v>
      </c>
      <c r="I7" s="21" t="n">
        <v>0</v>
      </c>
    </row>
    <row r="8">
      <c r="A8" s="15" t="inlineStr">
        <is>
          <t>L8</t>
        </is>
      </c>
      <c r="B8" s="15" t="inlineStr">
        <is>
          <t>Line L8</t>
        </is>
      </c>
      <c r="C8" s="21" t="n">
        <v>85.06999999999999</v>
      </c>
      <c r="D8" s="21" t="n">
        <v>9</v>
      </c>
      <c r="E8" s="21" t="n">
        <v>14</v>
      </c>
      <c r="F8" s="21" t="n">
        <v>100</v>
      </c>
      <c r="G8" s="21" t="n">
        <v>1.556</v>
      </c>
      <c r="H8" s="21" t="n">
        <v>48.33</v>
      </c>
      <c r="I8" s="21" t="n">
        <v>0</v>
      </c>
    </row>
    <row r="9">
      <c r="A9" s="15" t="inlineStr">
        <is>
          <t>L9</t>
        </is>
      </c>
      <c r="B9" s="15" t="inlineStr">
        <is>
          <t>Line L9</t>
        </is>
      </c>
      <c r="C9" s="21" t="n">
        <v>76.34</v>
      </c>
      <c r="D9" s="21" t="n">
        <v>16</v>
      </c>
      <c r="E9" s="21" t="n">
        <v>22</v>
      </c>
      <c r="F9" s="21" t="n">
        <v>90</v>
      </c>
      <c r="G9" s="21" t="n">
        <v>1.375</v>
      </c>
      <c r="H9" s="21" t="n">
        <v>24.38</v>
      </c>
      <c r="I9" s="21" t="n">
        <v>0</v>
      </c>
    </row>
    <row r="12">
      <c r="A12" s="7" t="inlineStr">
        <is>
          <t>TARGETS</t>
        </is>
      </c>
    </row>
    <row r="13">
      <c r="A13" s="8" t="inlineStr">
        <is>
          <t>KPI</t>
        </is>
      </c>
      <c r="B13" s="8" t="inlineStr">
        <is>
          <t>Target</t>
        </is>
      </c>
      <c r="C13" s="8" t="inlineStr">
        <is>
          <t>Weight</t>
        </is>
      </c>
      <c r="D13" s="8" t="inlineStr">
        <is>
          <t>Direction</t>
        </is>
      </c>
    </row>
    <row r="14">
      <c r="A14" s="15" t="inlineStr">
        <is>
          <t>OEE</t>
        </is>
      </c>
      <c r="B14" s="22" t="n">
        <v>82</v>
      </c>
      <c r="C14" s="23" t="n">
        <v>0.2</v>
      </c>
      <c r="D14" s="15" t="inlineStr">
        <is>
          <t>higher</t>
        </is>
      </c>
    </row>
    <row r="15">
      <c r="A15" s="15" t="inlineStr">
        <is>
          <t>BF</t>
        </is>
      </c>
      <c r="B15" s="22" t="n">
        <v>15</v>
      </c>
      <c r="C15" s="23" t="n">
        <v>0.1</v>
      </c>
      <c r="D15" s="15" t="inlineStr">
        <is>
          <t>lower</t>
        </is>
      </c>
    </row>
    <row r="16">
      <c r="A16" s="15" t="inlineStr">
        <is>
          <t>BH</t>
        </is>
      </c>
      <c r="B16" s="22" t="n">
        <v>20</v>
      </c>
      <c r="C16" s="23" t="n">
        <v>0.15</v>
      </c>
      <c r="D16" s="15" t="inlineStr">
        <is>
          <t>lower</t>
        </is>
      </c>
    </row>
    <row r="17">
      <c r="A17" s="15" t="inlineStr">
        <is>
          <t>PM</t>
        </is>
      </c>
      <c r="B17" s="22" t="n">
        <v>98</v>
      </c>
      <c r="C17" s="23" t="n">
        <v>0.2</v>
      </c>
      <c r="D17" s="15" t="inlineStr">
        <is>
          <t>higher</t>
        </is>
      </c>
    </row>
    <row r="18">
      <c r="A18" s="15" t="inlineStr">
        <is>
          <t>MTTR</t>
        </is>
      </c>
      <c r="B18" s="22" t="n">
        <v>2.5</v>
      </c>
      <c r="C18" s="23" t="n">
        <v>0.15</v>
      </c>
      <c r="D18" s="15" t="inlineStr">
        <is>
          <t>lower</t>
        </is>
      </c>
    </row>
    <row r="19">
      <c r="A19" s="15" t="inlineStr">
        <is>
          <t>MTBF</t>
        </is>
      </c>
      <c r="B19" s="22" t="n">
        <v>150</v>
      </c>
      <c r="C19" s="23" t="n">
        <v>0.1</v>
      </c>
      <c r="D19" s="15" t="inlineStr">
        <is>
          <t>higher</t>
        </is>
      </c>
    </row>
    <row r="20">
      <c r="A20" s="15" t="inlineStr">
        <is>
          <t>Safety</t>
        </is>
      </c>
      <c r="B20" s="22" t="n">
        <v>0</v>
      </c>
      <c r="C20" s="23" t="n">
        <v>0.1</v>
      </c>
      <c r="D20" s="15" t="inlineStr">
        <is>
          <t>zero</t>
        </is>
      </c>
    </row>
    <row r="22">
      <c r="A22" t="inlineStr">
        <is>
          <t>This sheet is your SOURCE. Dashboard connects to table KPI_Source.</t>
        </is>
      </c>
    </row>
    <row r="23">
      <c r="A23" t="inlineStr">
        <is>
          <t>After changing yellow cells: go to Dashboard → Data tab → Refresh All (or Ctrl+Alt+F5)</t>
        </is>
      </c>
    </row>
  </sheetData>
  <mergeCells count="1">
    <mergeCell ref="A1:J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CONNECTED CALCULATIONS — reads Source_Data (auto-updates with formulas)</t>
        </is>
      </c>
    </row>
    <row r="2">
      <c r="A2" s="8" t="inlineStr">
        <is>
          <t>Line</t>
        </is>
      </c>
      <c r="B2" s="8" t="inlineStr">
        <is>
          <t>Name</t>
        </is>
      </c>
      <c r="C2" s="8" t="inlineStr">
        <is>
          <t>OEE_Score</t>
        </is>
      </c>
      <c r="D2" s="8" t="inlineStr">
        <is>
          <t>BF_Score</t>
        </is>
      </c>
      <c r="E2" s="8" t="inlineStr">
        <is>
          <t>BH_Score</t>
        </is>
      </c>
      <c r="F2" s="8" t="inlineStr">
        <is>
          <t>PM_Score</t>
        </is>
      </c>
      <c r="G2" s="8" t="inlineStr">
        <is>
          <t>MTTR_Score</t>
        </is>
      </c>
      <c r="H2" s="8" t="inlineStr">
        <is>
          <t>MTBF_Score</t>
        </is>
      </c>
      <c r="I2" s="8" t="inlineStr">
        <is>
          <t>Safety_Score</t>
        </is>
      </c>
      <c r="J2" s="8" t="inlineStr">
        <is>
          <t>OEE_W</t>
        </is>
      </c>
      <c r="K2" s="8" t="inlineStr">
        <is>
          <t>BF_W</t>
        </is>
      </c>
      <c r="L2" s="8" t="inlineStr">
        <is>
          <t>BH_W</t>
        </is>
      </c>
      <c r="M2" s="8" t="inlineStr">
        <is>
          <t>PM_W</t>
        </is>
      </c>
      <c r="N2" s="8" t="inlineStr">
        <is>
          <t>MTTR_W</t>
        </is>
      </c>
      <c r="O2" s="8" t="inlineStr">
        <is>
          <t>MTBF_W</t>
        </is>
      </c>
      <c r="P2" s="8" t="inlineStr">
        <is>
          <t>Safety_W</t>
        </is>
      </c>
      <c r="Q2" s="8" t="inlineStr">
        <is>
          <t>TOTAL</t>
        </is>
      </c>
    </row>
    <row r="3">
      <c r="A3">
        <f>Source_Data!A5</f>
        <v/>
      </c>
      <c r="B3">
        <f>Source_Data!B5</f>
        <v/>
      </c>
      <c r="C3" s="24">
        <f>MIN(100,Source_Data!C5/Source_Data!$B$14*100)</f>
        <v/>
      </c>
      <c r="D3" s="24">
        <f>IF(Source_Data!D5=0,100,MIN(100,Source_Data!$B$15/Source_Data!D5*100))</f>
        <v/>
      </c>
      <c r="E3" s="24">
        <f>IF(Source_Data!E5=0,100,MIN(100,Source_Data!$B$16/Source_Data!E5*100))</f>
        <v/>
      </c>
      <c r="F3" s="24">
        <f>MIN(100,Source_Data!F5/Source_Data!$B$17*100)</f>
        <v/>
      </c>
      <c r="G3" s="24">
        <f>IF(Source_Data!G5=0,100,MIN(100,Source_Data!$B$18/Source_Data!G5*100))</f>
        <v/>
      </c>
      <c r="H3" s="24">
        <f>MIN(100,Source_Data!H5/Source_Data!$B$19*100)</f>
        <v/>
      </c>
      <c r="I3" s="24">
        <f>IF(Source_Data!I5=0,100,0)</f>
        <v/>
      </c>
      <c r="J3" s="24">
        <f>C3*Source_Data!$C$14</f>
        <v/>
      </c>
      <c r="K3" s="24">
        <f>D3*Source_Data!$C$15</f>
        <v/>
      </c>
      <c r="L3" s="24">
        <f>E3*Source_Data!$C$16</f>
        <v/>
      </c>
      <c r="M3" s="24">
        <f>F3*Source_Data!$C$17</f>
        <v/>
      </c>
      <c r="N3" s="24">
        <f>G3*Source_Data!$C$18</f>
        <v/>
      </c>
      <c r="O3" s="24">
        <f>H3*Source_Data!$C$19</f>
        <v/>
      </c>
      <c r="P3" s="24">
        <f>I3*Source_Data!$C$20</f>
        <v/>
      </c>
      <c r="Q3" s="24">
        <f>MIN(100,SUM(J3:P3))</f>
        <v/>
      </c>
    </row>
    <row r="4">
      <c r="A4">
        <f>Source_Data!A6</f>
        <v/>
      </c>
      <c r="B4">
        <f>Source_Data!B6</f>
        <v/>
      </c>
      <c r="C4" s="24">
        <f>MIN(100,Source_Data!C6/Source_Data!$B$14*100)</f>
        <v/>
      </c>
      <c r="D4" s="24">
        <f>IF(Source_Data!D6=0,100,MIN(100,Source_Data!$B$15/Source_Data!D6*100))</f>
        <v/>
      </c>
      <c r="E4" s="24">
        <f>IF(Source_Data!E6=0,100,MIN(100,Source_Data!$B$16/Source_Data!E6*100))</f>
        <v/>
      </c>
      <c r="F4" s="24">
        <f>MIN(100,Source_Data!F6/Source_Data!$B$17*100)</f>
        <v/>
      </c>
      <c r="G4" s="24">
        <f>IF(Source_Data!G6=0,100,MIN(100,Source_Data!$B$18/Source_Data!G6*100))</f>
        <v/>
      </c>
      <c r="H4" s="24">
        <f>MIN(100,Source_Data!H6/Source_Data!$B$19*100)</f>
        <v/>
      </c>
      <c r="I4" s="24">
        <f>IF(Source_Data!I6=0,100,0)</f>
        <v/>
      </c>
      <c r="J4" s="24">
        <f>C4*Source_Data!$C$14</f>
        <v/>
      </c>
      <c r="K4" s="24">
        <f>D4*Source_Data!$C$15</f>
        <v/>
      </c>
      <c r="L4" s="24">
        <f>E4*Source_Data!$C$16</f>
        <v/>
      </c>
      <c r="M4" s="24">
        <f>F4*Source_Data!$C$17</f>
        <v/>
      </c>
      <c r="N4" s="24">
        <f>G4*Source_Data!$C$18</f>
        <v/>
      </c>
      <c r="O4" s="24">
        <f>H4*Source_Data!$C$19</f>
        <v/>
      </c>
      <c r="P4" s="24">
        <f>I4*Source_Data!$C$20</f>
        <v/>
      </c>
      <c r="Q4" s="24">
        <f>MIN(100,SUM(J4:P4))</f>
        <v/>
      </c>
    </row>
    <row r="5">
      <c r="A5">
        <f>Source_Data!A7</f>
        <v/>
      </c>
      <c r="B5">
        <f>Source_Data!B7</f>
        <v/>
      </c>
      <c r="C5" s="24">
        <f>MIN(100,Source_Data!C7/Source_Data!$B$14*100)</f>
        <v/>
      </c>
      <c r="D5" s="24">
        <f>IF(Source_Data!D7=0,100,MIN(100,Source_Data!$B$15/Source_Data!D7*100))</f>
        <v/>
      </c>
      <c r="E5" s="24">
        <f>IF(Source_Data!E7=0,100,MIN(100,Source_Data!$B$16/Source_Data!E7*100))</f>
        <v/>
      </c>
      <c r="F5" s="24">
        <f>MIN(100,Source_Data!F7/Source_Data!$B$17*100)</f>
        <v/>
      </c>
      <c r="G5" s="24">
        <f>IF(Source_Data!G7=0,100,MIN(100,Source_Data!$B$18/Source_Data!G7*100))</f>
        <v/>
      </c>
      <c r="H5" s="24">
        <f>MIN(100,Source_Data!H7/Source_Data!$B$19*100)</f>
        <v/>
      </c>
      <c r="I5" s="24">
        <f>IF(Source_Data!I7=0,100,0)</f>
        <v/>
      </c>
      <c r="J5" s="24">
        <f>C5*Source_Data!$C$14</f>
        <v/>
      </c>
      <c r="K5" s="24">
        <f>D5*Source_Data!$C$15</f>
        <v/>
      </c>
      <c r="L5" s="24">
        <f>E5*Source_Data!$C$16</f>
        <v/>
      </c>
      <c r="M5" s="24">
        <f>F5*Source_Data!$C$17</f>
        <v/>
      </c>
      <c r="N5" s="24">
        <f>G5*Source_Data!$C$18</f>
        <v/>
      </c>
      <c r="O5" s="24">
        <f>H5*Source_Data!$C$19</f>
        <v/>
      </c>
      <c r="P5" s="24">
        <f>I5*Source_Data!$C$20</f>
        <v/>
      </c>
      <c r="Q5" s="24">
        <f>MIN(100,SUM(J5:P5))</f>
        <v/>
      </c>
    </row>
    <row r="6">
      <c r="A6">
        <f>Source_Data!A8</f>
        <v/>
      </c>
      <c r="B6">
        <f>Source_Data!B8</f>
        <v/>
      </c>
      <c r="C6" s="24">
        <f>MIN(100,Source_Data!C8/Source_Data!$B$14*100)</f>
        <v/>
      </c>
      <c r="D6" s="24">
        <f>IF(Source_Data!D8=0,100,MIN(100,Source_Data!$B$15/Source_Data!D8*100))</f>
        <v/>
      </c>
      <c r="E6" s="24">
        <f>IF(Source_Data!E8=0,100,MIN(100,Source_Data!$B$16/Source_Data!E8*100))</f>
        <v/>
      </c>
      <c r="F6" s="24">
        <f>MIN(100,Source_Data!F8/Source_Data!$B$17*100)</f>
        <v/>
      </c>
      <c r="G6" s="24">
        <f>IF(Source_Data!G8=0,100,MIN(100,Source_Data!$B$18/Source_Data!G8*100))</f>
        <v/>
      </c>
      <c r="H6" s="24">
        <f>MIN(100,Source_Data!H8/Source_Data!$B$19*100)</f>
        <v/>
      </c>
      <c r="I6" s="24">
        <f>IF(Source_Data!I8=0,100,0)</f>
        <v/>
      </c>
      <c r="J6" s="24">
        <f>C6*Source_Data!$C$14</f>
        <v/>
      </c>
      <c r="K6" s="24">
        <f>D6*Source_Data!$C$15</f>
        <v/>
      </c>
      <c r="L6" s="24">
        <f>E6*Source_Data!$C$16</f>
        <v/>
      </c>
      <c r="M6" s="24">
        <f>F6*Source_Data!$C$17</f>
        <v/>
      </c>
      <c r="N6" s="24">
        <f>G6*Source_Data!$C$18</f>
        <v/>
      </c>
      <c r="O6" s="24">
        <f>H6*Source_Data!$C$19</f>
        <v/>
      </c>
      <c r="P6" s="24">
        <f>I6*Source_Data!$C$20</f>
        <v/>
      </c>
      <c r="Q6" s="24">
        <f>MIN(100,SUM(J6:P6))</f>
        <v/>
      </c>
    </row>
    <row r="7">
      <c r="A7">
        <f>Source_Data!A9</f>
        <v/>
      </c>
      <c r="B7">
        <f>Source_Data!B9</f>
        <v/>
      </c>
      <c r="C7" s="24">
        <f>MIN(100,Source_Data!C9/Source_Data!$B$14*100)</f>
        <v/>
      </c>
      <c r="D7" s="24">
        <f>IF(Source_Data!D9=0,100,MIN(100,Source_Data!$B$15/Source_Data!D9*100))</f>
        <v/>
      </c>
      <c r="E7" s="24">
        <f>IF(Source_Data!E9=0,100,MIN(100,Source_Data!$B$16/Source_Data!E9*100))</f>
        <v/>
      </c>
      <c r="F7" s="24">
        <f>MIN(100,Source_Data!F9/Source_Data!$B$17*100)</f>
        <v/>
      </c>
      <c r="G7" s="24">
        <f>IF(Source_Data!G9=0,100,MIN(100,Source_Data!$B$18/Source_Data!G9*100))</f>
        <v/>
      </c>
      <c r="H7" s="24">
        <f>MIN(100,Source_Data!H9/Source_Data!$B$19*100)</f>
        <v/>
      </c>
      <c r="I7" s="24">
        <f>IF(Source_Data!I9=0,100,0)</f>
        <v/>
      </c>
      <c r="J7" s="24">
        <f>C7*Source_Data!$C$14</f>
        <v/>
      </c>
      <c r="K7" s="24">
        <f>D7*Source_Data!$C$15</f>
        <v/>
      </c>
      <c r="L7" s="24">
        <f>E7*Source_Data!$C$16</f>
        <v/>
      </c>
      <c r="M7" s="24">
        <f>F7*Source_Data!$C$17</f>
        <v/>
      </c>
      <c r="N7" s="24">
        <f>G7*Source_Data!$C$18</f>
        <v/>
      </c>
      <c r="O7" s="24">
        <f>H7*Source_Data!$C$19</f>
        <v/>
      </c>
      <c r="P7" s="24">
        <f>I7*Source_Data!$C$20</f>
        <v/>
      </c>
      <c r="Q7" s="24">
        <f>MIN(100,SUM(J7:P7))</f>
        <v/>
      </c>
    </row>
    <row r="9">
      <c r="A9" t="inlineStr">
        <is>
          <t>Plant_Score</t>
        </is>
      </c>
      <c r="Q9" s="25">
        <f>AVERAGE(Q3:Q7)</f>
        <v/>
      </c>
    </row>
    <row r="11">
      <c r="A11" t="inlineStr">
        <is>
          <t>Plant_OEE</t>
        </is>
      </c>
      <c r="B11" s="24">
        <f>AVERAGE(Source_Data!C5:C9)</f>
        <v/>
      </c>
    </row>
    <row r="12">
      <c r="A12" t="inlineStr">
        <is>
          <t>Plant_BF</t>
        </is>
      </c>
      <c r="B12" s="24">
        <f>AVERAGE(Source_Data!D5:D9)</f>
        <v/>
      </c>
    </row>
    <row r="13">
      <c r="A13" t="inlineStr">
        <is>
          <t>Plant_BH</t>
        </is>
      </c>
      <c r="B13" s="24">
        <f>AVERAGE(Source_Data!E5:E9)</f>
        <v/>
      </c>
    </row>
    <row r="14">
      <c r="A14" t="inlineStr">
        <is>
          <t>Plant_PM</t>
        </is>
      </c>
      <c r="B14" s="24">
        <f>AVERAGE(Source_Data!F5:F9)</f>
        <v/>
      </c>
    </row>
    <row r="15">
      <c r="A15" t="inlineStr">
        <is>
          <t>Plant_MTTR</t>
        </is>
      </c>
      <c r="B15" s="24">
        <f>AVERAGE(Source_Data!G5:G9)</f>
        <v/>
      </c>
    </row>
    <row r="16">
      <c r="A16" t="inlineStr">
        <is>
          <t>Plant_MTBF</t>
        </is>
      </c>
      <c r="B16" s="24">
        <f>AVERAGE(Source_Data!H5:H9)</f>
        <v/>
      </c>
    </row>
    <row r="17">
      <c r="A17" t="inlineStr">
        <is>
          <t>Plant_LTI</t>
        </is>
      </c>
      <c r="B17" s="24">
        <f>SUM(Source_Data!I5:I9)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Connect Dashboard ↔ Excel data + Refresh automatically</t>
        </is>
      </c>
    </row>
    <row r="3" ht="40" customHeight="1">
      <c r="A3" s="26" t="inlineStr">
        <is>
          <t>Topic</t>
        </is>
      </c>
      <c r="B3" s="26" t="inlineStr">
        <is>
          <t>Instructions</t>
        </is>
      </c>
    </row>
    <row r="4" ht="40" customHeight="1">
      <c r="A4" s="27" t="inlineStr">
        <is>
          <t>Your requirement</t>
        </is>
      </c>
      <c r="B4" s="27" t="inlineStr">
        <is>
          <t>Click Dashboard → Refresh → latest data loads into cards/charts</t>
        </is>
      </c>
    </row>
    <row r="5" ht="40" customHeight="1">
      <c r="A5" s="27" t="inlineStr">
        <is>
          <t>Method A (this file)</t>
        </is>
      </c>
      <c r="B5" s="27" t="inlineStr">
        <is>
          <t>Already connected with formulas (=Source_Data!... / =Calc!...). Update Source_Data, open Dashboard, press Ctrl+Alt+F5.</t>
        </is>
      </c>
    </row>
    <row r="6" ht="40" customHeight="1">
      <c r="A6" s="27" t="inlineStr">
        <is>
          <t>Method B — other Excel file</t>
        </is>
      </c>
      <c r="B6" s="27" t="inlineStr">
        <is>
          <t>Data → Get Data → From File → From Workbook → select source file → Load. Then Data → Refresh All.</t>
        </is>
      </c>
    </row>
    <row r="7" ht="40" customHeight="1">
      <c r="A7" s="27" t="inlineStr">
        <is>
          <t>Refresh on open</t>
        </is>
      </c>
      <c r="B7" s="27" t="inlineStr">
        <is>
          <t>Data → Queries &amp; Connections → query Properties → tick Refresh data when opening the file</t>
        </is>
      </c>
    </row>
    <row r="8" ht="40" customHeight="1">
      <c r="A8" s="27" t="inlineStr">
        <is>
          <t>Refresh every N minutes</t>
        </is>
      </c>
      <c r="B8" s="27" t="inlineStr">
        <is>
          <t>Same Properties → tick Refresh every → e.g. 60 minutes</t>
        </is>
      </c>
    </row>
    <row r="9" ht="40" customHeight="1">
      <c r="A9" s="27" t="inlineStr">
        <is>
          <t>Keyboard</t>
        </is>
      </c>
      <c r="B9" s="27" t="inlineStr">
        <is>
          <t>Ctrl + Alt + F5 = Refresh All</t>
        </is>
      </c>
    </row>
    <row r="10" ht="40" customHeight="1">
      <c r="A10" s="27" t="inlineStr">
        <is>
          <t>Auto calculate</t>
        </is>
      </c>
      <c r="B10" s="27" t="inlineStr">
        <is>
          <t>File → Options → Formulas → Workbook Calculation → Automatic</t>
        </is>
      </c>
    </row>
    <row r="11" ht="40" customHeight="1">
      <c r="A11" s="27" t="inlineStr">
        <is>
          <t>Power BI</t>
        </is>
      </c>
      <c r="B11" s="27" t="inlineStr">
        <is>
          <t>Get data → Excel → publish → Refresh in Power BI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2026-08-08T10:50:52Z</dcterms:created>
  <dcterms:modified xsi:type="dcterms:W3CDTF">2026-08-08T10:50:52Z</dcterms:modified>
</cp:coreProperties>
</file>