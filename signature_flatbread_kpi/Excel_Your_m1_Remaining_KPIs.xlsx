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r_Sheet_Fixed" sheetId="1" state="visible" r:id="rId1"/>
    <sheet name="Answers_For_Your_Numbers" sheetId="2" state="visible" r:id="rId2"/>
    <sheet name="Paste_Into_Your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£#,##0.00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</font>
    <font>
      <b val="1"/>
      <color rgb="00C00000"/>
    </font>
    <font>
      <b val="1"/>
    </font>
    <font>
      <b val="1"/>
      <sz val="12"/>
    </font>
    <font>
      <i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165" fontId="0" fillId="4" borderId="1" pivotButton="0" quotePrefix="0" xfId="0"/>
    <xf numFmtId="2" fontId="0" fillId="4" borderId="1" pivotButton="0" quotePrefix="0" xfId="0"/>
    <xf numFmtId="0" fontId="6" fillId="7" borderId="1" pivotButton="0" quotePrefix="0" xfId="0"/>
    <xf numFmtId="2" fontId="6" fillId="7" borderId="1" pivotButton="0" quotePrefix="0" xfId="0"/>
    <xf numFmtId="166" fontId="0" fillId="4" borderId="1" pivotButton="0" quotePrefix="0" xfId="0"/>
    <xf numFmtId="0" fontId="7" fillId="0" borderId="0" pivotButton="0" quotePrefix="0" xfId="0"/>
    <xf numFmtId="0" fontId="0" fillId="4" borderId="1" pivotButton="0" quotePrefix="0" xfId="0"/>
    <xf numFmtId="0" fontId="5" fillId="7" borderId="0" pivotButton="0" quotePrefix="0" xfId="0"/>
    <xf numFmtId="166" fontId="5" fillId="7" borderId="0" pivotButton="0" quotePrefix="0" xfId="0"/>
    <xf numFmtId="164" fontId="0" fillId="4" borderId="0" pivotButton="0" quotePrefix="0" xfId="0"/>
    <xf numFmtId="0" fontId="0" fillId="5" borderId="0" pivotButton="0" quotePrefix="0" xfId="0"/>
    <xf numFmtId="2" fontId="0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  <col width="12" customWidth="1" min="4" max="4"/>
    <col width="12" customWidth="1" min="5" max="5"/>
  </cols>
  <sheetData>
    <row r="1">
      <c r="A1" s="1" t="inlineStr">
        <is>
          <t>YOUR SCREEN LAYOUT — m1 — with remaining KPIs calculated</t>
        </is>
      </c>
    </row>
    <row r="2">
      <c r="A2" s="2" t="inlineStr">
        <is>
          <t>Yellow = type | Green = formula | Orange = you were missing these inputs</t>
        </is>
      </c>
    </row>
    <row r="3">
      <c r="A3" s="3" t="inlineStr"/>
      <c r="B3" s="3" t="inlineStr">
        <is>
          <t>Machine</t>
        </is>
      </c>
      <c r="C3" s="3" t="inlineStr">
        <is>
          <t>Metric</t>
        </is>
      </c>
      <c r="D3" s="3" t="inlineStr">
        <is>
          <t>05-08-2026</t>
        </is>
      </c>
      <c r="E3" s="3" t="inlineStr">
        <is>
          <t>06-08-2026</t>
        </is>
      </c>
    </row>
    <row r="4">
      <c r="B4" s="4" t="inlineStr">
        <is>
          <t>m1</t>
        </is>
      </c>
    </row>
    <row r="14">
      <c r="C14" t="inlineStr">
        <is>
          <t>Date</t>
        </is>
      </c>
      <c r="D14" s="4" t="inlineStr">
        <is>
          <t>05-08-2026</t>
        </is>
      </c>
      <c r="E14" s="4" t="inlineStr">
        <is>
          <t>06-08-2026</t>
        </is>
      </c>
    </row>
    <row r="15">
      <c r="C15" s="5" t="inlineStr">
        <is>
          <t>Actual (Time)</t>
        </is>
      </c>
      <c r="D15" s="6" t="n">
        <v>9</v>
      </c>
      <c r="E15" s="6" t="n">
        <v>9</v>
      </c>
    </row>
    <row r="16">
      <c r="C16" s="5" t="inlineStr">
        <is>
          <t>planned (Time)</t>
        </is>
      </c>
      <c r="D16" s="6" t="n">
        <v>12</v>
      </c>
      <c r="E16" s="6" t="n">
        <v>16</v>
      </c>
    </row>
    <row r="17">
      <c r="C17" s="5" t="inlineStr">
        <is>
          <t>Actual (Rate/Output)</t>
        </is>
      </c>
      <c r="D17" s="6" t="n">
        <v>92</v>
      </c>
      <c r="E17" s="6" t="n">
        <v>92</v>
      </c>
    </row>
    <row r="18">
      <c r="C18" s="5" t="inlineStr">
        <is>
          <t>ideal (Rate/Output)</t>
        </is>
      </c>
      <c r="D18" s="6" t="n">
        <v>100</v>
      </c>
      <c r="E18" s="6" t="n">
        <v>100</v>
      </c>
    </row>
    <row r="19">
      <c r="C19" s="5" t="inlineStr">
        <is>
          <t>goods (Count)</t>
        </is>
      </c>
      <c r="D19" s="6" t="n">
        <v>8000</v>
      </c>
      <c r="E19" s="6" t="n">
        <v>8000</v>
      </c>
    </row>
    <row r="20">
      <c r="C20" s="5" t="inlineStr">
        <is>
          <t>total (Count)</t>
        </is>
      </c>
      <c r="D20" s="6" t="n">
        <v>10000</v>
      </c>
      <c r="E20" s="6" t="n">
        <v>10000</v>
      </c>
    </row>
    <row r="21">
      <c r="C21" s="5" t="inlineStr">
        <is>
          <t>availability</t>
        </is>
      </c>
      <c r="D21" s="7">
        <f>IF(D16=0,"",D15/D16)</f>
        <v/>
      </c>
      <c r="E21" s="7">
        <f>IF(E16=0,"",E15/E16)</f>
        <v/>
      </c>
    </row>
    <row r="22">
      <c r="C22" s="5" t="inlineStr">
        <is>
          <t>performance</t>
        </is>
      </c>
      <c r="D22" s="7">
        <f>IF(D18=0,"",D17/D18)</f>
        <v/>
      </c>
      <c r="E22" s="7">
        <f>IF(E18=0,"",E17/E18)</f>
        <v/>
      </c>
    </row>
    <row r="23">
      <c r="C23" s="5" t="inlineStr">
        <is>
          <t>quality</t>
        </is>
      </c>
      <c r="D23" s="7">
        <f>IF(D20=0,"",D19/D20)</f>
        <v/>
      </c>
      <c r="E23" s="7">
        <f>IF(E20=0,"",E19/E20)</f>
        <v/>
      </c>
    </row>
    <row r="24">
      <c r="C24" s="5" t="inlineStr">
        <is>
          <t>OEE (qee)</t>
        </is>
      </c>
      <c r="D24" s="7">
        <f>IF(OR(D21="",D22="",D23=""),"",D21*D22*D23)</f>
        <v/>
      </c>
      <c r="E24" s="7">
        <f>IF(OR(E21="",E22="",E23=""),"",E21*E22*E23)</f>
        <v/>
      </c>
    </row>
    <row r="25">
      <c r="C25" s="8" t="inlineStr">
        <is>
          <t>&gt;&gt;&gt; NEW INPUTS NEEDED BELOW &lt;&lt;&lt;</t>
        </is>
      </c>
    </row>
    <row r="26">
      <c r="A26" s="4" t="inlineStr">
        <is>
          <t>TYPE</t>
        </is>
      </c>
      <c r="C26" s="9" t="inlineStr">
        <is>
          <t>Breakdown count (input)</t>
        </is>
      </c>
      <c r="D26" s="6" t="n">
        <v>1</v>
      </c>
      <c r="E26" s="6" t="n">
        <v>2</v>
      </c>
    </row>
    <row r="27">
      <c r="C27" s="9" t="inlineStr">
        <is>
          <t>Breakdown hours (input)</t>
        </is>
      </c>
      <c r="D27" s="6" t="n">
        <v>1.5</v>
      </c>
      <c r="E27" s="6" t="n">
        <v>2</v>
      </c>
    </row>
    <row r="28">
      <c r="C28" s="9" t="inlineStr">
        <is>
          <t>Planned PM jobs (input)</t>
        </is>
      </c>
      <c r="D28" s="6" t="n">
        <v>2</v>
      </c>
      <c r="E28" s="6" t="n">
        <v>2</v>
      </c>
    </row>
    <row r="29">
      <c r="C29" s="9" t="inlineStr">
        <is>
          <t>Completed PM on time (input)</t>
        </is>
      </c>
      <c r="D29" s="6" t="n">
        <v>2</v>
      </c>
      <c r="E29" s="6" t="n">
        <v>1</v>
      </c>
    </row>
    <row r="30">
      <c r="C30" s="9" t="inlineStr">
        <is>
          <t>LTI count (input)</t>
        </is>
      </c>
      <c r="D30" s="6" t="n">
        <v>0</v>
      </c>
      <c r="E30" s="6" t="n">
        <v>0</v>
      </c>
    </row>
    <row r="32">
      <c r="C32" s="5" t="inlineStr">
        <is>
          <t>Breakdown Frequency (actual)</t>
        </is>
      </c>
      <c r="D32" s="7">
        <f>D26</f>
        <v/>
      </c>
      <c r="E32" s="7">
        <f>E26</f>
        <v/>
      </c>
    </row>
    <row r="33">
      <c r="C33" s="5" t="inlineStr">
        <is>
          <t>Breakdown hours (actual)</t>
        </is>
      </c>
      <c r="D33" s="7">
        <f>D27</f>
        <v/>
      </c>
      <c r="E33" s="7">
        <f>E27</f>
        <v/>
      </c>
    </row>
    <row r="34">
      <c r="C34" s="5" t="inlineStr">
        <is>
          <t>PM Compliance (actual)</t>
        </is>
      </c>
      <c r="D34" s="7">
        <f>IF(D28=0,"",D29/D28)</f>
        <v/>
      </c>
      <c r="E34" s="7">
        <f>IF(E28=0,"",E29/E28)</f>
        <v/>
      </c>
    </row>
    <row r="35">
      <c r="C35" s="5" t="inlineStr">
        <is>
          <t>MTTR (actual hours)</t>
        </is>
      </c>
      <c r="D35" s="7">
        <f>IF(D26=0,0,D27/D26)</f>
        <v/>
      </c>
      <c r="E35" s="7">
        <f>IF(E26=0,0,E27/E26)</f>
        <v/>
      </c>
    </row>
    <row r="36">
      <c r="C36" s="5" t="inlineStr">
        <is>
          <t>MTBF (actual hours)</t>
        </is>
      </c>
      <c r="D36" s="7">
        <f>IF(D26=0,D15,D15/D26)</f>
        <v/>
      </c>
      <c r="E36" s="7">
        <f>IF(E26=0,E15,E15/E26)</f>
        <v/>
      </c>
    </row>
    <row r="37">
      <c r="C37" s="5" t="inlineStr">
        <is>
          <t>Safety (LTI actual)</t>
        </is>
      </c>
      <c r="D37" s="7">
        <f>D30</f>
        <v/>
      </c>
      <c r="E37" s="7">
        <f>E30</f>
        <v/>
      </c>
    </row>
    <row r="39">
      <c r="C39" s="10" t="inlineStr">
        <is>
          <t>TARGETS (Year 1)</t>
        </is>
      </c>
    </row>
    <row r="40">
      <c r="C40" s="5" t="inlineStr">
        <is>
          <t>OEE target</t>
        </is>
      </c>
      <c r="D40" s="11" t="n">
        <v>0.82</v>
      </c>
    </row>
    <row r="41">
      <c r="C41" s="5" t="inlineStr">
        <is>
          <t>BF target</t>
        </is>
      </c>
      <c r="D41" s="11" t="n">
        <v>15</v>
      </c>
    </row>
    <row r="42">
      <c r="C42" s="5" t="inlineStr">
        <is>
          <t>BH target hours</t>
        </is>
      </c>
      <c r="D42" s="11" t="n">
        <v>20</v>
      </c>
    </row>
    <row r="43">
      <c r="C43" s="5" t="inlineStr">
        <is>
          <t>PM target</t>
        </is>
      </c>
      <c r="D43" s="11" t="n">
        <v>0.98</v>
      </c>
    </row>
    <row r="44">
      <c r="C44" s="5" t="inlineStr">
        <is>
          <t>MTTR target hours</t>
        </is>
      </c>
      <c r="D44" s="11" t="n">
        <v>2.5</v>
      </c>
    </row>
    <row r="45">
      <c r="C45" s="5" t="inlineStr">
        <is>
          <t>MTBF target hours</t>
        </is>
      </c>
      <c r="D45" s="11" t="n">
        <v>150</v>
      </c>
    </row>
    <row r="46">
      <c r="C46" s="5" t="inlineStr">
        <is>
          <t>Safety target LTI</t>
        </is>
      </c>
      <c r="D46" s="11" t="n">
        <v>0</v>
      </c>
    </row>
    <row r="48">
      <c r="A48" s="3" t="n"/>
      <c r="B48" s="3" t="n"/>
      <c r="C48" s="3" t="inlineStr">
        <is>
          <t>SCORE % (capped at 100)</t>
        </is>
      </c>
      <c r="D48" s="3" t="inlineStr">
        <is>
          <t>05-08-2026</t>
        </is>
      </c>
      <c r="E48" s="3" t="inlineStr">
        <is>
          <t>06-08-2026</t>
        </is>
      </c>
    </row>
    <row r="49">
      <c r="C49" s="5" t="inlineStr">
        <is>
          <t>OEE Score %</t>
        </is>
      </c>
      <c r="D49" s="12">
        <f>MIN(100,D24/$D$40*100)</f>
        <v/>
      </c>
      <c r="E49" s="12">
        <f>MIN(100,E24/$D$40*100)</f>
        <v/>
      </c>
    </row>
    <row r="50">
      <c r="C50" s="5" t="inlineStr">
        <is>
          <t>BF Score %</t>
        </is>
      </c>
      <c r="D50" s="12">
        <f>IF(D32=0,100,MIN(100,$D$41/D32*100))</f>
        <v/>
      </c>
      <c r="E50" s="12">
        <f>IF(E32=0,100,MIN(100,$D$41/E32*100))</f>
        <v/>
      </c>
    </row>
    <row r="51">
      <c r="C51" s="5" t="inlineStr">
        <is>
          <t>BH Score %</t>
        </is>
      </c>
      <c r="D51" s="12">
        <f>IF(D33=0,100,MIN(100,$D$42/D33*100))</f>
        <v/>
      </c>
      <c r="E51" s="12">
        <f>IF(E33=0,100,MIN(100,$D$42/E33*100))</f>
        <v/>
      </c>
    </row>
    <row r="52">
      <c r="C52" s="5" t="inlineStr">
        <is>
          <t>PM Score %</t>
        </is>
      </c>
      <c r="D52" s="12">
        <f>MIN(100,D34/$D$43*100)</f>
        <v/>
      </c>
      <c r="E52" s="12">
        <f>MIN(100,E34/$D$43*100)</f>
        <v/>
      </c>
    </row>
    <row r="53">
      <c r="C53" s="5" t="inlineStr">
        <is>
          <t>MTTR Score %</t>
        </is>
      </c>
      <c r="D53" s="12">
        <f>IF(D35=0,100,MIN(100,$D$44/D35*100))</f>
        <v/>
      </c>
      <c r="E53" s="12">
        <f>IF(E35=0,100,MIN(100,$D$44/E35*100))</f>
        <v/>
      </c>
    </row>
    <row r="54">
      <c r="C54" s="5" t="inlineStr">
        <is>
          <t>MTBF Score %</t>
        </is>
      </c>
      <c r="D54" s="12">
        <f>MIN(100,D36/$D$45*100)</f>
        <v/>
      </c>
      <c r="E54" s="12">
        <f>MIN(100,E36/$D$45*100)</f>
        <v/>
      </c>
    </row>
    <row r="55">
      <c r="C55" s="5" t="inlineStr">
        <is>
          <t>Safety Score %</t>
        </is>
      </c>
      <c r="D55" s="12">
        <f>IF(D37=0,100,0)</f>
        <v/>
      </c>
      <c r="E55" s="12">
        <f>IF(E37=0,100,0)</f>
        <v/>
      </c>
    </row>
    <row r="57">
      <c r="C57" s="10" t="inlineStr">
        <is>
          <t>WEIGHTED points</t>
        </is>
      </c>
    </row>
    <row r="58">
      <c r="C58" s="5" t="inlineStr">
        <is>
          <t>OEE Weighted (×20%)</t>
        </is>
      </c>
      <c r="D58" s="13">
        <f>D49*0.2</f>
        <v/>
      </c>
      <c r="E58" s="13">
        <f>E49*0.2</f>
        <v/>
      </c>
    </row>
    <row r="59">
      <c r="C59" s="5" t="inlineStr">
        <is>
          <t>BF Weighted (×10%)</t>
        </is>
      </c>
      <c r="D59" s="13">
        <f>D50*0.1</f>
        <v/>
      </c>
      <c r="E59" s="13">
        <f>E50*0.1</f>
        <v/>
      </c>
    </row>
    <row r="60">
      <c r="C60" s="5" t="inlineStr">
        <is>
          <t>BH Weighted (×15%)</t>
        </is>
      </c>
      <c r="D60" s="13">
        <f>D51*0.15</f>
        <v/>
      </c>
      <c r="E60" s="13">
        <f>E51*0.15</f>
        <v/>
      </c>
    </row>
    <row r="61">
      <c r="C61" s="5" t="inlineStr">
        <is>
          <t>PM Weighted (×20%)</t>
        </is>
      </c>
      <c r="D61" s="13">
        <f>D52*0.2</f>
        <v/>
      </c>
      <c r="E61" s="13">
        <f>E52*0.2</f>
        <v/>
      </c>
    </row>
    <row r="62">
      <c r="C62" s="5" t="inlineStr">
        <is>
          <t>MTTR Weighted (×15%)</t>
        </is>
      </c>
      <c r="D62" s="13">
        <f>D53*0.15</f>
        <v/>
      </c>
      <c r="E62" s="13">
        <f>E53*0.15</f>
        <v/>
      </c>
    </row>
    <row r="63">
      <c r="C63" s="5" t="inlineStr">
        <is>
          <t>MTBF Weighted (×10%)</t>
        </is>
      </c>
      <c r="D63" s="13">
        <f>D54*0.1</f>
        <v/>
      </c>
      <c r="E63" s="13">
        <f>E54*0.1</f>
        <v/>
      </c>
    </row>
    <row r="64">
      <c r="C64" s="5" t="inlineStr">
        <is>
          <t>Safety Weighted (×10%)</t>
        </is>
      </c>
      <c r="D64" s="13">
        <f>D55*0.1</f>
        <v/>
      </c>
      <c r="E64" s="13">
        <f>E55*0.1</f>
        <v/>
      </c>
    </row>
    <row r="65">
      <c r="C65" s="14" t="inlineStr">
        <is>
          <t>TOTAL KPI SCORE %</t>
        </is>
      </c>
      <c r="D65" s="15">
        <f>MIN(100,SUM(D58:D64))</f>
        <v/>
      </c>
      <c r="E65" s="15">
        <f>MIN(100,SUM(E58:E64))</f>
        <v/>
      </c>
    </row>
    <row r="66">
      <c r="C66" s="5" t="inlineStr">
        <is>
          <t>bonus (example opportunity £324)</t>
        </is>
      </c>
      <c r="D66" s="16">
        <f>324*D65/100</f>
        <v/>
      </c>
      <c r="E66" s="16">
        <f>324*E65/100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8" customWidth="1" min="3" max="3"/>
    <col width="12" customWidth="1" min="4" max="4"/>
    <col width="12" customWidth="1" min="5" max="5"/>
  </cols>
  <sheetData>
    <row r="1">
      <c r="A1" s="1" t="inlineStr">
        <is>
          <t>ANSWERS using YOUR m1 numbers for 05-08-2026</t>
        </is>
      </c>
    </row>
    <row r="2">
      <c r="A2" s="17" t="inlineStr">
        <is>
          <t>OEE part uses your screenshot. Remaining KPIs need extra inputs — example inputs used below.</t>
        </is>
      </c>
    </row>
    <row r="4">
      <c r="A4" s="10" t="inlineStr">
        <is>
          <t>FROM YOUR SCREEN (already correct in column D)</t>
        </is>
      </c>
    </row>
    <row r="5">
      <c r="A5" s="5" t="inlineStr">
        <is>
          <t>Availability</t>
        </is>
      </c>
      <c r="B5" s="18" t="n">
        <v>0.75</v>
      </c>
      <c r="C5" s="5" t="inlineStr">
        <is>
          <t>D15/D16 = 9/12</t>
        </is>
      </c>
    </row>
    <row r="6">
      <c r="A6" s="5" t="inlineStr">
        <is>
          <t>Performance</t>
        </is>
      </c>
      <c r="B6" s="18" t="n">
        <v>0.92</v>
      </c>
      <c r="C6" s="5" t="inlineStr">
        <is>
          <t>D17/D18 = 92/100</t>
        </is>
      </c>
    </row>
    <row r="7">
      <c r="A7" s="5" t="inlineStr">
        <is>
          <t>Quality</t>
        </is>
      </c>
      <c r="B7" s="18" t="n">
        <v>0.8</v>
      </c>
      <c r="C7" s="5" t="inlineStr">
        <is>
          <t>D19/D20 = 8000/10000</t>
        </is>
      </c>
    </row>
    <row r="8">
      <c r="A8" s="5" t="inlineStr">
        <is>
          <t>OEE</t>
        </is>
      </c>
      <c r="B8" s="18" t="n">
        <v>0.552</v>
      </c>
      <c r="C8" s="5" t="inlineStr">
        <is>
          <t>0.75 × 0.92 × 0.8 = 0.552 = 55.2%</t>
        </is>
      </c>
    </row>
    <row r="10">
      <c r="A10" s="8" t="inlineStr">
        <is>
          <t>COLUMN E ERROR on your screen</t>
        </is>
      </c>
    </row>
    <row r="11">
      <c r="A11" t="inlineStr">
        <is>
          <t>E21 should be 9/16 = 0.5625, NOT 12</t>
        </is>
      </c>
    </row>
    <row r="12">
      <c r="A12" t="inlineStr">
        <is>
          <t>E24 should be 0.5625×0.92×0.8 = 0.414, NOT 8.832</t>
        </is>
      </c>
    </row>
    <row r="13">
      <c r="A13" t="inlineStr">
        <is>
          <t>Put formula =E15/E16 in E21, and =E21*E22*E23 in E24</t>
        </is>
      </c>
    </row>
    <row r="15">
      <c r="A15" s="10" t="inlineStr">
        <is>
          <t>EXTRA INPUTS YOU MUST TYPE (example used for demo)</t>
        </is>
      </c>
    </row>
    <row r="16">
      <c r="A16" s="3" t="inlineStr">
        <is>
          <t>Input</t>
        </is>
      </c>
      <c r="B16" s="3" t="inlineStr">
        <is>
          <t>Example value</t>
        </is>
      </c>
      <c r="C16" s="3" t="inlineStr">
        <is>
          <t>Meaning</t>
        </is>
      </c>
    </row>
    <row r="17">
      <c r="A17" s="5" t="inlineStr">
        <is>
          <t>Breakdown count</t>
        </is>
      </c>
      <c r="B17" s="6" t="n">
        <v>1</v>
      </c>
      <c r="C17" s="5" t="inlineStr">
        <is>
          <t>How many times machine broke that day</t>
        </is>
      </c>
    </row>
    <row r="18">
      <c r="A18" s="5" t="inlineStr">
        <is>
          <t>Breakdown hours</t>
        </is>
      </c>
      <c r="B18" s="6" t="n">
        <v>1.5</v>
      </c>
      <c r="C18" s="5" t="inlineStr">
        <is>
          <t>Total hours stopped for breakdowns</t>
        </is>
      </c>
    </row>
    <row r="19">
      <c r="A19" s="5" t="inlineStr">
        <is>
          <t>Planned PM jobs</t>
        </is>
      </c>
      <c r="B19" s="6" t="n">
        <v>2</v>
      </c>
      <c r="C19" s="5" t="inlineStr">
        <is>
          <t>From Maintainer</t>
        </is>
      </c>
    </row>
    <row r="20">
      <c r="A20" s="5" t="inlineStr">
        <is>
          <t>Completed PM on time</t>
        </is>
      </c>
      <c r="B20" s="6" t="n">
        <v>2</v>
      </c>
      <c r="C20" s="5" t="inlineStr">
        <is>
          <t>From Maintainer</t>
        </is>
      </c>
    </row>
    <row r="21">
      <c r="A21" s="5" t="inlineStr">
        <is>
          <t>LTI count</t>
        </is>
      </c>
      <c r="B21" s="6" t="n">
        <v>0</v>
      </c>
      <c r="C21" s="5" t="inlineStr">
        <is>
          <t>From Safety — 0 means no injury</t>
        </is>
      </c>
    </row>
    <row r="24">
      <c r="A24" s="10" t="inlineStr">
        <is>
          <t>REMAINING ACTUAL VALUES (05-08-2026) with example inputs</t>
        </is>
      </c>
    </row>
    <row r="25">
      <c r="A25" s="3" t="inlineStr">
        <is>
          <t>KPI</t>
        </is>
      </c>
      <c r="B25" s="3" t="inlineStr">
        <is>
          <t>Actual</t>
        </is>
      </c>
      <c r="C25" s="3" t="inlineStr">
        <is>
          <t>Excel formula in your sheet</t>
        </is>
      </c>
      <c r="D25" s="3" t="inlineStr">
        <is>
          <t>Score %</t>
        </is>
      </c>
      <c r="E25" s="3" t="inlineStr">
        <is>
          <t>Weighted</t>
        </is>
      </c>
    </row>
    <row r="26">
      <c r="A26" s="5" t="inlineStr">
        <is>
          <t>OEE</t>
        </is>
      </c>
      <c r="B26" s="13" t="n">
        <v>0.552</v>
      </c>
      <c r="C26" s="5">
        <f>D21*D22*D23</f>
        <v/>
      </c>
      <c r="D26" s="13" t="n">
        <v>67.3171</v>
      </c>
      <c r="E26" s="13" t="n">
        <v>13.4634</v>
      </c>
    </row>
    <row r="27">
      <c r="A27" s="5" t="inlineStr">
        <is>
          <t>Breakdown Frequency</t>
        </is>
      </c>
      <c r="B27" s="13" t="n">
        <v>1</v>
      </c>
      <c r="C27" s="5">
        <f> breakdown count (new input)</f>
        <v/>
      </c>
      <c r="D27" s="13" t="n">
        <v>100</v>
      </c>
      <c r="E27" s="13" t="n">
        <v>10</v>
      </c>
    </row>
    <row r="28">
      <c r="A28" s="5" t="inlineStr">
        <is>
          <t>Breakdown hours</t>
        </is>
      </c>
      <c r="B28" s="13" t="n">
        <v>1.5</v>
      </c>
      <c r="C28" s="5">
        <f> breakdown hours (new input)</f>
        <v/>
      </c>
      <c r="D28" s="13" t="n">
        <v>100</v>
      </c>
      <c r="E28" s="13" t="n">
        <v>15</v>
      </c>
    </row>
    <row r="29">
      <c r="A29" s="5" t="inlineStr">
        <is>
          <t>PM Compliance</t>
        </is>
      </c>
      <c r="B29" s="13" t="n">
        <v>1</v>
      </c>
      <c r="C29" s="5">
        <f>Completed PM / Planned PM</f>
        <v/>
      </c>
      <c r="D29" s="13" t="n">
        <v>100</v>
      </c>
      <c r="E29" s="13" t="n">
        <v>20</v>
      </c>
    </row>
    <row r="30">
      <c r="A30" s="5" t="inlineStr">
        <is>
          <t>MTTR</t>
        </is>
      </c>
      <c r="B30" s="13" t="n">
        <v>1.5</v>
      </c>
      <c r="C30" s="5">
        <f>Breakdown hours / Breakdown count</f>
        <v/>
      </c>
      <c r="D30" s="13" t="n">
        <v>100</v>
      </c>
      <c r="E30" s="13" t="n">
        <v>15</v>
      </c>
    </row>
    <row r="31">
      <c r="A31" s="5" t="inlineStr">
        <is>
          <t>MTBF</t>
        </is>
      </c>
      <c r="B31" s="13" t="n">
        <v>9</v>
      </c>
      <c r="C31" s="5">
        <f>Actual Time / Breakdown count</f>
        <v/>
      </c>
      <c r="D31" s="13" t="n">
        <v>6</v>
      </c>
      <c r="E31" s="13" t="n">
        <v>0.6</v>
      </c>
    </row>
    <row r="32">
      <c r="A32" s="5" t="inlineStr">
        <is>
          <t>Safety</t>
        </is>
      </c>
      <c r="B32" s="13" t="n">
        <v>0</v>
      </c>
      <c r="C32" s="5">
        <f>LTI count (0 = good)</f>
        <v/>
      </c>
      <c r="D32" s="13" t="n">
        <v>100</v>
      </c>
      <c r="E32" s="13" t="n">
        <v>10</v>
      </c>
    </row>
    <row r="34">
      <c r="A34" s="19" t="inlineStr">
        <is>
          <t>TOTAL KPI SCORE %</t>
        </is>
      </c>
      <c r="B34" s="19" t="n">
        <v>84.06</v>
      </c>
    </row>
    <row r="35">
      <c r="A35" s="19" t="inlineStr">
        <is>
          <t>bonus (Maint eng £324 × total%)</t>
        </is>
      </c>
      <c r="B35" s="20" t="n">
        <v>272.37</v>
      </c>
    </row>
    <row r="37">
      <c r="A37" s="10" t="inlineStr">
        <is>
          <t>Exact formulas to paste into YOUR empty rows (column D)</t>
        </is>
      </c>
    </row>
    <row r="38">
      <c r="A38" s="3" t="inlineStr">
        <is>
          <t>Row on your screen</t>
        </is>
      </c>
      <c r="B38" s="3" t="inlineStr">
        <is>
          <t>What to put</t>
        </is>
      </c>
      <c r="C38" s="3" t="inlineStr">
        <is>
          <t>Formula / value</t>
        </is>
      </c>
    </row>
    <row r="39">
      <c r="A39" s="5" t="inlineStr">
        <is>
          <t>First ADD 5 new input rows above bonus/remaining KPIs</t>
        </is>
      </c>
      <c r="B39" s="5" t="inlineStr">
        <is>
          <t>Breakdown count, Breakdown hours, Planned PM, Completed PM, LTI</t>
        </is>
      </c>
      <c r="C39" s="5" t="inlineStr">
        <is>
          <t>Type numbers in yellow</t>
        </is>
      </c>
    </row>
    <row r="40">
      <c r="A40" s="5" t="inlineStr">
        <is>
          <t>Breakdown Frequency (your row 26)</t>
        </is>
      </c>
      <c r="B40" s="5" t="inlineStr">
        <is>
          <t>Actual value</t>
        </is>
      </c>
      <c r="C40" s="5">
        <f> &lt;cell with breakdown count&gt;</f>
        <v/>
      </c>
    </row>
    <row r="41">
      <c r="A41" s="5" t="inlineStr">
        <is>
          <t>Breakdown hours (row 27)</t>
        </is>
      </c>
      <c r="B41" s="5" t="inlineStr">
        <is>
          <t>Actual value</t>
        </is>
      </c>
      <c r="C41" s="5">
        <f> &lt;cell with breakdown hours&gt;</f>
        <v/>
      </c>
    </row>
    <row r="42">
      <c r="A42" s="5" t="inlineStr">
        <is>
          <t>PM Compliance (row 28)</t>
        </is>
      </c>
      <c r="B42" s="5" t="inlineStr">
        <is>
          <t>Actual ratio or %</t>
        </is>
      </c>
      <c r="C42" s="5">
        <f>CompletedPM/PlannedPM   or that×100</f>
        <v/>
      </c>
    </row>
    <row r="43">
      <c r="A43" s="5" t="inlineStr">
        <is>
          <t>MTTR (row 29)</t>
        </is>
      </c>
      <c r="B43" s="5" t="inlineStr">
        <is>
          <t>Hours</t>
        </is>
      </c>
      <c r="C43" s="5">
        <f>BreakdownHours/BreakdownCount</f>
        <v/>
      </c>
    </row>
    <row r="44">
      <c r="A44" s="5" t="inlineStr">
        <is>
          <t>MTBF (row 30)</t>
        </is>
      </c>
      <c r="B44" s="5" t="inlineStr">
        <is>
          <t>Hours</t>
        </is>
      </c>
      <c r="C44" s="5">
        <f>ActualTime/BreakdownCount   → =D15/BreakdownCount</f>
        <v/>
      </c>
    </row>
    <row r="45">
      <c r="A45" s="5" t="inlineStr">
        <is>
          <t>Safety (row 31)</t>
        </is>
      </c>
      <c r="B45" s="5" t="inlineStr">
        <is>
          <t>LTI count or score</t>
        </is>
      </c>
      <c r="C45" s="5" t="inlineStr">
        <is>
          <t>LTI count, or =IF(LTI=0,100,0) for score</t>
        </is>
      </c>
    </row>
    <row r="46">
      <c r="A46" s="5" t="inlineStr">
        <is>
          <t>bonus (row 25)</t>
        </is>
      </c>
      <c r="B46" s="5" t="inlineStr">
        <is>
          <t>Money</t>
        </is>
      </c>
      <c r="C46" s="5">
        <f>324 * TotalScore / 100</f>
        <v/>
      </c>
    </row>
    <row r="48">
      <c r="A48" s="8" t="inlineStr">
        <is>
          <t>IMPORTANT</t>
        </is>
      </c>
    </row>
    <row r="49">
      <c r="A49" t="inlineStr">
        <is>
          <t>You cannot calculate BF, BH, PM, MTTR, MTBF, Safety from only OEE inputs.</t>
        </is>
      </c>
    </row>
    <row r="50">
      <c r="A50" t="inlineStr">
        <is>
          <t>Ask Teams/Maintainer/H&amp;S for breakdown count, breakdown hours, PM jobs, and LTI.</t>
        </is>
      </c>
    </row>
    <row r="51">
      <c r="A51" t="inlineStr">
        <is>
          <t>Your OEE 0.552 is correct. Column E availability/OEE on screen is wrong — fix with formulas.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36" customWidth="1" min="3" max="3"/>
    <col width="18" customWidth="1" min="4" max="4"/>
  </cols>
  <sheetData>
    <row r="1">
      <c r="A1" s="1" t="inlineStr">
        <is>
          <t>COPY THESE INTO YOUR SHEET (m1, column D = 05-08-2026)</t>
        </is>
      </c>
    </row>
    <row r="3">
      <c r="A3" s="10" t="inlineStr">
        <is>
          <t>STEP A — Insert/type these INPUT rows (yellow) somewhere above row 26</t>
        </is>
      </c>
    </row>
    <row r="14">
      <c r="C14" t="inlineStr">
        <is>
          <t>Date</t>
        </is>
      </c>
      <c r="D14" t="inlineStr">
        <is>
          <t>05-08-2026</t>
        </is>
      </c>
    </row>
    <row r="15">
      <c r="C15" t="inlineStr">
        <is>
          <t>Actual (Time)</t>
        </is>
      </c>
      <c r="D15" s="4" t="n">
        <v>9</v>
      </c>
    </row>
    <row r="16">
      <c r="C16" t="inlineStr">
        <is>
          <t>planned (Time)</t>
        </is>
      </c>
      <c r="D16" s="4" t="n">
        <v>12</v>
      </c>
    </row>
    <row r="17">
      <c r="C17" t="inlineStr">
        <is>
          <t>Actual (Rate/Output)</t>
        </is>
      </c>
      <c r="D17" s="4" t="n">
        <v>92</v>
      </c>
    </row>
    <row r="18">
      <c r="C18" t="inlineStr">
        <is>
          <t>ideal (Rate/Output)</t>
        </is>
      </c>
      <c r="D18" s="4" t="n">
        <v>100</v>
      </c>
    </row>
    <row r="19">
      <c r="C19" t="inlineStr">
        <is>
          <t>goods (Count)</t>
        </is>
      </c>
      <c r="D19" s="4" t="n">
        <v>8000</v>
      </c>
    </row>
    <row r="20">
      <c r="C20" t="inlineStr">
        <is>
          <t>total (Count)</t>
        </is>
      </c>
      <c r="D20" s="4" t="n">
        <v>10000</v>
      </c>
    </row>
    <row r="21">
      <c r="C21" t="inlineStr">
        <is>
          <t>availability</t>
        </is>
      </c>
      <c r="D21" s="21">
        <f>D15/D16</f>
        <v/>
      </c>
    </row>
    <row r="22">
      <c r="C22" t="inlineStr">
        <is>
          <t>performance</t>
        </is>
      </c>
      <c r="D22" s="21">
        <f>D17/D18</f>
        <v/>
      </c>
    </row>
    <row r="23">
      <c r="C23" t="inlineStr">
        <is>
          <t>quality</t>
        </is>
      </c>
      <c r="D23" s="21">
        <f>D19/D20</f>
        <v/>
      </c>
    </row>
    <row r="24">
      <c r="C24" t="inlineStr">
        <is>
          <t>OEE</t>
        </is>
      </c>
      <c r="D24" s="21">
        <f>D21*D22*D23</f>
        <v/>
      </c>
    </row>
    <row r="25">
      <c r="C25" s="22" t="inlineStr">
        <is>
          <t>Breakdown count INPUT</t>
        </is>
      </c>
      <c r="D25" s="4" t="n">
        <v>1</v>
      </c>
    </row>
    <row r="26">
      <c r="C26" s="22" t="inlineStr">
        <is>
          <t>Breakdown hours INPUT</t>
        </is>
      </c>
      <c r="D26" s="4" t="n">
        <v>1.5</v>
      </c>
    </row>
    <row r="27">
      <c r="C27" s="22" t="inlineStr">
        <is>
          <t>Planned PM INPUT</t>
        </is>
      </c>
      <c r="D27" s="4" t="n">
        <v>2</v>
      </c>
    </row>
    <row r="28">
      <c r="C28" s="22" t="inlineStr">
        <is>
          <t>Completed PM on time INPUT</t>
        </is>
      </c>
      <c r="D28" s="4" t="n">
        <v>2</v>
      </c>
    </row>
    <row r="29">
      <c r="C29" s="22" t="inlineStr">
        <is>
          <t>LTI INPUT</t>
        </is>
      </c>
      <c r="D29" s="4" t="n">
        <v>0</v>
      </c>
    </row>
    <row r="31">
      <c r="A31" s="10" t="inlineStr">
        <is>
          <t>STEP B — Put these formulas in your empty remaining rows</t>
        </is>
      </c>
    </row>
    <row r="32">
      <c r="C32" s="5" t="inlineStr">
        <is>
          <t>Breakdown Frequency</t>
        </is>
      </c>
      <c r="D32" s="7">
        <f>D25</f>
        <v/>
      </c>
    </row>
    <row r="33">
      <c r="C33" s="5" t="inlineStr">
        <is>
          <t>Breakdown hours</t>
        </is>
      </c>
      <c r="D33" s="7">
        <f>D26</f>
        <v/>
      </c>
    </row>
    <row r="34">
      <c r="C34" s="5" t="inlineStr">
        <is>
          <t>PM Compliance</t>
        </is>
      </c>
      <c r="D34" s="7">
        <f>D28/D27</f>
        <v/>
      </c>
    </row>
    <row r="35">
      <c r="C35" s="5" t="inlineStr">
        <is>
          <t>MTTR</t>
        </is>
      </c>
      <c r="D35" s="7">
        <f>IF(D25=0,0,D26/D25)</f>
        <v/>
      </c>
    </row>
    <row r="36">
      <c r="C36" s="5" t="inlineStr">
        <is>
          <t>MTBF</t>
        </is>
      </c>
      <c r="D36" s="7">
        <f>IF(D25=0,D15,D15/D25)</f>
        <v/>
      </c>
    </row>
    <row r="37">
      <c r="C37" s="5" t="inlineStr">
        <is>
          <t>Safety</t>
        </is>
      </c>
      <c r="D37" s="7">
        <f>D29</f>
        <v/>
      </c>
    </row>
    <row r="38">
      <c r="C38" s="5" t="inlineStr">
        <is>
          <t>TOTAL score %</t>
        </is>
      </c>
      <c r="D38" s="23">
        <f>MIN(100, MIN(100,D24/0.82*100)*0.2 + IF(D32=0,100,MIN(100,15/D32*100))*0.1 + IF(D33=0,100,MIN(100,20/D33*100))*0.15 + MIN(100,D34/0.98*100)*0.2 + IF(D35=0,100,MIN(100,2.5/D35*100))*0.15 + MIN(100,D36/150*100)*0.1 + IF(D37=0,100,0)*0.1)</f>
        <v/>
      </c>
    </row>
    <row r="39">
      <c r="C39" s="5" t="inlineStr">
        <is>
          <t>bonus</t>
        </is>
      </c>
      <c r="D39" s="16">
        <f>324*D38/100</f>
        <v/>
      </c>
    </row>
    <row r="42">
      <c r="A42" s="10" t="inlineStr">
        <is>
          <t>NUMBERS YOU SHOULD SEE (with example inputs 1 breakdown, 1.5 hrs, PM 2/2, LTI 0)</t>
        </is>
      </c>
    </row>
    <row r="43">
      <c r="A43" s="3" t="inlineStr">
        <is>
          <t>Metric</t>
        </is>
      </c>
      <c r="B43" s="3" t="inlineStr">
        <is>
          <t>Value</t>
        </is>
      </c>
    </row>
    <row r="44">
      <c r="A44" s="5" t="inlineStr">
        <is>
          <t>availability</t>
        </is>
      </c>
      <c r="B44" s="18" t="n">
        <v>0.75</v>
      </c>
    </row>
    <row r="45">
      <c r="A45" s="5" t="inlineStr">
        <is>
          <t>performance</t>
        </is>
      </c>
      <c r="B45" s="18" t="n">
        <v>0.92</v>
      </c>
    </row>
    <row r="46">
      <c r="A46" s="5" t="inlineStr">
        <is>
          <t>quality</t>
        </is>
      </c>
      <c r="B46" s="18" t="n">
        <v>0.8</v>
      </c>
    </row>
    <row r="47">
      <c r="A47" s="5" t="inlineStr">
        <is>
          <t>OEE</t>
        </is>
      </c>
      <c r="B47" s="18" t="n">
        <v>0.552</v>
      </c>
    </row>
    <row r="48">
      <c r="A48" s="5" t="inlineStr">
        <is>
          <t>Breakdown Frequency</t>
        </is>
      </c>
      <c r="B48" s="18" t="n">
        <v>1</v>
      </c>
    </row>
    <row r="49">
      <c r="A49" s="5" t="inlineStr">
        <is>
          <t>Breakdown hours</t>
        </is>
      </c>
      <c r="B49" s="18" t="n">
        <v>1.5</v>
      </c>
    </row>
    <row r="50">
      <c r="A50" s="5" t="inlineStr">
        <is>
          <t>PM Compliance</t>
        </is>
      </c>
      <c r="B50" s="18" t="n">
        <v>1</v>
      </c>
    </row>
    <row r="51">
      <c r="A51" s="5" t="inlineStr">
        <is>
          <t>MTTR</t>
        </is>
      </c>
      <c r="B51" s="18" t="n">
        <v>1.5</v>
      </c>
    </row>
    <row r="52">
      <c r="A52" s="5" t="inlineStr">
        <is>
          <t>MTBF</t>
        </is>
      </c>
      <c r="B52" s="18" t="n">
        <v>9</v>
      </c>
    </row>
    <row r="53">
      <c r="A53" s="5" t="inlineStr">
        <is>
          <t>Safety LTI</t>
        </is>
      </c>
      <c r="B53" s="18" t="n">
        <v>0</v>
      </c>
    </row>
    <row r="54">
      <c r="A54" s="5" t="inlineStr">
        <is>
          <t>TOTAL score %</t>
        </is>
      </c>
      <c r="B54" s="24" t="n">
        <v>84.06</v>
      </c>
    </row>
    <row r="55">
      <c r="A55" s="5" t="inlineStr">
        <is>
          <t>bonus £</t>
        </is>
      </c>
      <c r="B55" s="24" t="n">
        <v>272.37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2026-08-06T11:24:39Z</dcterms:created>
  <dcterms:modified xsi:type="dcterms:W3CDTF">2026-08-06T11:24:39Z</dcterms:modified>
</cp:coreProperties>
</file>