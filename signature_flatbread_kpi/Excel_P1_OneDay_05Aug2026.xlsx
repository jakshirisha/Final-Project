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_One_Day_05_08_2026" sheetId="1" state="visible" r:id="rId1"/>
    <sheet name="Paste_Formula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£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2" fontId="0" fillId="5" borderId="1" pivotButton="0" quotePrefix="0" xfId="0"/>
    <xf numFmtId="9" fontId="0" fillId="5" borderId="1" pivotButton="0" quotePrefix="0" xfId="0"/>
    <xf numFmtId="0" fontId="5" fillId="6" borderId="1" pivotButton="0" quotePrefix="0" xfId="0"/>
    <xf numFmtId="165" fontId="0" fillId="5" borderId="0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8" customWidth="1" min="4" max="4"/>
    <col width="42" customWidth="1" min="5" max="5"/>
    <col width="70" customWidth="1" min="6" max="6"/>
  </cols>
  <sheetData>
    <row r="1">
      <c r="A1" s="1" t="inlineStr">
        <is>
          <t>P1 PANCAKE — one day KPI calculation (05/08/2026)</t>
        </is>
      </c>
    </row>
    <row r="2">
      <c r="A2" s="2" t="inlineStr">
        <is>
          <t>Yellow = from your screen | Orange = assumed (you can change) | Green = formula result</t>
        </is>
      </c>
    </row>
    <row r="4">
      <c r="A4" s="3" t="inlineStr">
        <is>
          <t>TYPE</t>
        </is>
      </c>
      <c r="B4" s="3" t="inlineStr">
        <is>
          <t>MACHINES</t>
        </is>
      </c>
      <c r="C4" s="3" t="inlineStr">
        <is>
          <t>OPERATIONS</t>
        </is>
      </c>
      <c r="D4" s="3" t="inlineStr">
        <is>
          <t>VALUE (put in your column D)</t>
        </is>
      </c>
      <c r="E4" s="3" t="inlineStr">
        <is>
          <t>Excel formula for column D</t>
        </is>
      </c>
      <c r="F4" s="3" t="inlineStr">
        <is>
          <t>Note</t>
        </is>
      </c>
    </row>
    <row r="6">
      <c r="A6" s="4" t="inlineStr">
        <is>
          <t>Pancakes</t>
        </is>
      </c>
      <c r="B6" s="4" t="inlineStr">
        <is>
          <t>P1</t>
        </is>
      </c>
      <c r="C6" s="4" t="inlineStr">
        <is>
          <t>Actual Operating Time</t>
        </is>
      </c>
      <c r="D6" s="5" t="n">
        <v>9</v>
      </c>
      <c r="E6" s="4" t="inlineStr">
        <is>
          <t>type 9</t>
        </is>
      </c>
      <c r="F6" s="4" t="inlineStr">
        <is>
          <t>From your screenshot</t>
        </is>
      </c>
    </row>
    <row r="7">
      <c r="A7" s="4" t="inlineStr">
        <is>
          <t>Pancakes</t>
        </is>
      </c>
      <c r="B7" s="4" t="inlineStr">
        <is>
          <t>P1</t>
        </is>
      </c>
      <c r="C7" s="4" t="inlineStr">
        <is>
          <t>Planned Production Time</t>
        </is>
      </c>
      <c r="D7" s="5" t="n">
        <v>12</v>
      </c>
      <c r="E7" s="4" t="inlineStr">
        <is>
          <t>type 12</t>
        </is>
      </c>
      <c r="F7" s="4" t="inlineStr">
        <is>
          <t>From your screenshot</t>
        </is>
      </c>
    </row>
    <row r="8">
      <c r="A8" s="4" t="inlineStr">
        <is>
          <t>Pancakes</t>
        </is>
      </c>
      <c r="B8" s="4" t="inlineStr">
        <is>
          <t>P1</t>
        </is>
      </c>
      <c r="C8" s="4" t="inlineStr">
        <is>
          <t>Actual Production Rate</t>
        </is>
      </c>
      <c r="D8" s="5" t="n">
        <v>92</v>
      </c>
      <c r="E8" s="4" t="inlineStr">
        <is>
          <t>type 92</t>
        </is>
      </c>
      <c r="F8" s="4" t="inlineStr">
        <is>
          <t>Your sheet says 'Actual Production Time' but 92 is a rate (used vs ideal 100)</t>
        </is>
      </c>
    </row>
    <row r="9">
      <c r="A9" s="4" t="inlineStr">
        <is>
          <t>Pancakes</t>
        </is>
      </c>
      <c r="B9" s="4" t="inlineStr">
        <is>
          <t>P1</t>
        </is>
      </c>
      <c r="C9" s="4" t="inlineStr">
        <is>
          <t>Ideal Production Rate</t>
        </is>
      </c>
      <c r="D9" s="5" t="n">
        <v>100</v>
      </c>
      <c r="E9" s="4" t="inlineStr">
        <is>
          <t>type 100</t>
        </is>
      </c>
      <c r="F9" s="4" t="inlineStr">
        <is>
          <t>From your screenshot</t>
        </is>
      </c>
    </row>
    <row r="10">
      <c r="A10" s="4" t="inlineStr">
        <is>
          <t>Pancakes</t>
        </is>
      </c>
      <c r="B10" s="4" t="inlineStr">
        <is>
          <t>P1</t>
        </is>
      </c>
      <c r="C10" s="4" t="inlineStr">
        <is>
          <t>Goods units produced</t>
        </is>
      </c>
      <c r="D10" s="5" t="n">
        <v>8000</v>
      </c>
      <c r="E10" s="4" t="inlineStr">
        <is>
          <t>type 8000</t>
        </is>
      </c>
      <c r="F10" s="4" t="inlineStr">
        <is>
          <t>From your screenshot</t>
        </is>
      </c>
    </row>
    <row r="11">
      <c r="A11" s="4" t="inlineStr">
        <is>
          <t>Pancakes</t>
        </is>
      </c>
      <c r="B11" s="4" t="inlineStr">
        <is>
          <t>P1</t>
        </is>
      </c>
      <c r="C11" s="4" t="inlineStr">
        <is>
          <t>Total number of units produced</t>
        </is>
      </c>
      <c r="D11" s="5" t="n">
        <v>10000</v>
      </c>
      <c r="E11" s="4" t="inlineStr">
        <is>
          <t>type 10000</t>
        </is>
      </c>
      <c r="F11" s="4" t="inlineStr">
        <is>
          <t>From your screenshot</t>
        </is>
      </c>
    </row>
    <row r="12">
      <c r="A12" s="4" t="inlineStr">
        <is>
          <t>Pancakes</t>
        </is>
      </c>
      <c r="B12" s="4" t="inlineStr">
        <is>
          <t>P1</t>
        </is>
      </c>
      <c r="C12" s="4" t="inlineStr">
        <is>
          <t>Total Number of breakdowns</t>
        </is>
      </c>
      <c r="D12" s="5" t="n">
        <v>1</v>
      </c>
      <c r="E12" s="4" t="inlineStr">
        <is>
          <t>type 1</t>
        </is>
      </c>
      <c r="F12" s="4" t="inlineStr">
        <is>
          <t>You told me Breakdown count = 1</t>
        </is>
      </c>
    </row>
    <row r="13">
      <c r="A13" s="4" t="inlineStr">
        <is>
          <t>Pancakes</t>
        </is>
      </c>
      <c r="B13" s="4" t="inlineStr">
        <is>
          <t>P1</t>
        </is>
      </c>
      <c r="C13" s="4" t="inlineStr">
        <is>
          <t>Total Number of Operating Hours</t>
        </is>
      </c>
      <c r="D13" s="6" t="n">
        <v>9</v>
      </c>
      <c r="E13" s="4">
        <f>D2</f>
        <v/>
      </c>
      <c r="F13" s="4" t="inlineStr">
        <is>
          <t>Same as Actual Operating Time for this day</t>
        </is>
      </c>
    </row>
    <row r="14">
      <c r="A14" s="4" t="inlineStr">
        <is>
          <t>Pancakes</t>
        </is>
      </c>
      <c r="B14" s="4" t="inlineStr">
        <is>
          <t>P1</t>
        </is>
      </c>
      <c r="C14" s="4" t="inlineStr">
        <is>
          <t>Planned Preventive Maintenance</t>
        </is>
      </c>
      <c r="D14" s="6" t="n">
        <v>1</v>
      </c>
      <c r="E14" s="4" t="inlineStr">
        <is>
          <t>type 1 (or your real number)</t>
        </is>
      </c>
      <c r="F14" s="4" t="inlineStr">
        <is>
          <t>ASSUMED — change if Maintainer shows different</t>
        </is>
      </c>
    </row>
    <row r="15">
      <c r="A15" s="4" t="inlineStr">
        <is>
          <t>Pancakes</t>
        </is>
      </c>
      <c r="B15" s="4" t="inlineStr">
        <is>
          <t>P1</t>
        </is>
      </c>
      <c r="C15" s="4" t="inlineStr">
        <is>
          <t>Completed Preventive Maintenance</t>
        </is>
      </c>
      <c r="D15" s="6" t="n">
        <v>1</v>
      </c>
      <c r="E15" s="4" t="inlineStr">
        <is>
          <t>type 1 (or your real number)</t>
        </is>
      </c>
      <c r="F15" s="4" t="inlineStr">
        <is>
          <t>ASSUMED — change if Maintainer shows different</t>
        </is>
      </c>
    </row>
    <row r="16">
      <c r="A16" s="4" t="inlineStr">
        <is>
          <t>Pancakes</t>
        </is>
      </c>
      <c r="B16" s="4" t="inlineStr">
        <is>
          <t>P1</t>
        </is>
      </c>
      <c r="C16" s="4" t="inlineStr">
        <is>
          <t>No of incidents</t>
        </is>
      </c>
      <c r="D16" s="6" t="n">
        <v>0</v>
      </c>
      <c r="E16" s="4" t="inlineStr">
        <is>
          <t>type 0 (or your real LTI)</t>
        </is>
      </c>
      <c r="F16" s="4" t="inlineStr">
        <is>
          <t>ASSUMED zero incidents — change if H&amp;S says otherwise</t>
        </is>
      </c>
    </row>
    <row r="17">
      <c r="A17" s="4" t="inlineStr">
        <is>
          <t>Pancakes</t>
        </is>
      </c>
      <c r="B17" s="4" t="inlineStr">
        <is>
          <t>P1</t>
        </is>
      </c>
      <c r="C17" s="4" t="inlineStr">
        <is>
          <t>Total Down Time</t>
        </is>
      </c>
      <c r="D17" s="6" t="n">
        <v>3</v>
      </c>
      <c r="E17" s="4">
        <f>D3-D2</f>
        <v/>
      </c>
      <c r="F17" s="4" t="inlineStr">
        <is>
          <t>ASSUMED = Planned − Actual Operating = 12−9 = 3 hours (includes all lost time; if you have true breakdown-only hours, use that)</t>
        </is>
      </c>
    </row>
    <row r="18">
      <c r="A18" s="4" t="inlineStr">
        <is>
          <t>Pancakes</t>
        </is>
      </c>
      <c r="B18" s="4" t="inlineStr">
        <is>
          <t>P1</t>
        </is>
      </c>
      <c r="C18" s="4" t="inlineStr">
        <is>
          <t>Total Operational Time</t>
        </is>
      </c>
      <c r="D18" s="6" t="n">
        <v>9</v>
      </c>
      <c r="E18" s="4">
        <f>D2</f>
        <v/>
      </c>
      <c r="F18" s="4" t="inlineStr">
        <is>
          <t>Same as operating time for this day</t>
        </is>
      </c>
    </row>
    <row r="19">
      <c r="A19" s="4" t="inlineStr">
        <is>
          <t>Pancakes</t>
        </is>
      </c>
      <c r="B19" s="4" t="inlineStr">
        <is>
          <t>P1</t>
        </is>
      </c>
      <c r="C19" s="4" t="inlineStr">
        <is>
          <t>No of Failures</t>
        </is>
      </c>
      <c r="D19" s="6" t="n">
        <v>1</v>
      </c>
      <c r="E19" s="4">
        <f>D8</f>
        <v/>
      </c>
      <c r="F19" s="4" t="inlineStr">
        <is>
          <t>Same as breakdowns for one day</t>
        </is>
      </c>
    </row>
    <row r="20">
      <c r="A20" s="4" t="inlineStr">
        <is>
          <t>Pancakes</t>
        </is>
      </c>
      <c r="B20" s="4" t="inlineStr">
        <is>
          <t>P1</t>
        </is>
      </c>
      <c r="C20" s="4" t="inlineStr">
        <is>
          <t>Availability</t>
        </is>
      </c>
      <c r="D20" s="7" t="n">
        <v>0.75</v>
      </c>
      <c r="E20" s="4">
        <f>D2/D3</f>
        <v/>
      </c>
      <c r="F20" s="4" t="inlineStr">
        <is>
          <t>9/12 = 0.75</t>
        </is>
      </c>
    </row>
    <row r="21">
      <c r="A21" s="4" t="inlineStr">
        <is>
          <t>Pancakes</t>
        </is>
      </c>
      <c r="B21" s="4" t="inlineStr">
        <is>
          <t>P1</t>
        </is>
      </c>
      <c r="C21" s="4" t="inlineStr">
        <is>
          <t>Performance</t>
        </is>
      </c>
      <c r="D21" s="7" t="n">
        <v>0.92</v>
      </c>
      <c r="E21" s="4">
        <f>D4/D5</f>
        <v/>
      </c>
      <c r="F21" s="4" t="inlineStr">
        <is>
          <t>92/100 = 0.92</t>
        </is>
      </c>
    </row>
    <row r="22">
      <c r="A22" s="4" t="inlineStr">
        <is>
          <t>Pancakes</t>
        </is>
      </c>
      <c r="B22" s="4" t="inlineStr">
        <is>
          <t>P1</t>
        </is>
      </c>
      <c r="C22" s="4" t="inlineStr">
        <is>
          <t>Quality</t>
        </is>
      </c>
      <c r="D22" s="7" t="n">
        <v>0.8</v>
      </c>
      <c r="E22" s="4">
        <f>D6/D7</f>
        <v/>
      </c>
      <c r="F22" s="4" t="inlineStr">
        <is>
          <t>8000/10000 = 0.80</t>
        </is>
      </c>
    </row>
    <row r="23">
      <c r="A23" s="4" t="inlineStr">
        <is>
          <t>Pancakes</t>
        </is>
      </c>
      <c r="B23" s="4" t="inlineStr">
        <is>
          <t>P1</t>
        </is>
      </c>
      <c r="C23" s="4" t="inlineStr">
        <is>
          <t>OEE</t>
        </is>
      </c>
      <c r="D23" s="7" t="n">
        <v>0.552</v>
      </c>
      <c r="E23" s="4">
        <f>D16*D17*D18</f>
        <v/>
      </c>
      <c r="F23" s="4" t="inlineStr">
        <is>
          <t>0.75 × 0.92 × 0.80 = 0.552</t>
        </is>
      </c>
    </row>
    <row r="24">
      <c r="A24" s="4" t="inlineStr">
        <is>
          <t>Pancakes</t>
        </is>
      </c>
      <c r="B24" s="4" t="inlineStr">
        <is>
          <t>P1</t>
        </is>
      </c>
      <c r="C24" s="4" t="inlineStr">
        <is>
          <t>Breakdown frequency</t>
        </is>
      </c>
      <c r="D24" s="7" t="n">
        <v>1</v>
      </c>
      <c r="E24" s="4">
        <f>D8</f>
        <v/>
      </c>
      <c r="F24" s="4" t="inlineStr">
        <is>
          <t>For daily score use count = 1 (scheme target is monthly ≤15)</t>
        </is>
      </c>
    </row>
    <row r="25">
      <c r="A25" s="4" t="inlineStr">
        <is>
          <t>Pancakes</t>
        </is>
      </c>
      <c r="B25" s="4" t="inlineStr">
        <is>
          <t>P1</t>
        </is>
      </c>
      <c r="C25" s="4" t="inlineStr">
        <is>
          <t>Breakdown hours</t>
        </is>
      </c>
      <c r="D25" s="7" t="n">
        <v>3</v>
      </c>
      <c r="E25" s="4">
        <f>D13</f>
        <v/>
      </c>
      <c r="F25" s="4" t="inlineStr">
        <is>
          <t>Uses Total Down Time</t>
        </is>
      </c>
    </row>
    <row r="26">
      <c r="A26" s="4" t="inlineStr">
        <is>
          <t>Pancakes</t>
        </is>
      </c>
      <c r="B26" s="4" t="inlineStr">
        <is>
          <t>P1</t>
        </is>
      </c>
      <c r="C26" s="4" t="inlineStr">
        <is>
          <t>PM Compliance</t>
        </is>
      </c>
      <c r="D26" s="7" t="n">
        <v>1</v>
      </c>
      <c r="E26" s="4">
        <f>IF(D10=0,"",D11/D10)</f>
        <v/>
      </c>
      <c r="F26" s="4" t="inlineStr">
        <is>
          <t>1/1 = 1.00 = 100%</t>
        </is>
      </c>
    </row>
    <row r="27">
      <c r="A27" s="4" t="inlineStr">
        <is>
          <t>Pancakes</t>
        </is>
      </c>
      <c r="B27" s="4" t="inlineStr">
        <is>
          <t>P1</t>
        </is>
      </c>
      <c r="C27" s="4" t="inlineStr">
        <is>
          <t>MTTR</t>
        </is>
      </c>
      <c r="D27" s="7" t="n">
        <v>3</v>
      </c>
      <c r="E27" s="4">
        <f>IF(D8=0,0,D13/D8)</f>
        <v/>
      </c>
      <c r="F27" s="4" t="inlineStr">
        <is>
          <t>3/1 = 3.0 hours</t>
        </is>
      </c>
    </row>
    <row r="28">
      <c r="A28" s="4" t="inlineStr">
        <is>
          <t>Pancakes</t>
        </is>
      </c>
      <c r="B28" s="4" t="inlineStr">
        <is>
          <t>P1</t>
        </is>
      </c>
      <c r="C28" s="4" t="inlineStr">
        <is>
          <t>MTBF</t>
        </is>
      </c>
      <c r="D28" s="7" t="n">
        <v>9</v>
      </c>
      <c r="E28" s="4">
        <f>IF(D15=0,D14,D14/D15)</f>
        <v/>
      </c>
      <c r="F28" s="4" t="inlineStr">
        <is>
          <t>9/1 = 9.0 hours</t>
        </is>
      </c>
    </row>
    <row r="29">
      <c r="A29" s="4" t="inlineStr">
        <is>
          <t>Pancakes</t>
        </is>
      </c>
      <c r="B29" s="4" t="inlineStr">
        <is>
          <t>P1</t>
        </is>
      </c>
      <c r="C29" s="4" t="inlineStr">
        <is>
          <t>Safety</t>
        </is>
      </c>
      <c r="D29" s="7" t="n">
        <v>0</v>
      </c>
      <c r="E29" s="4">
        <f>D12</f>
        <v/>
      </c>
      <c r="F29" s="4" t="inlineStr">
        <is>
          <t>0 incidents = good</t>
        </is>
      </c>
    </row>
    <row r="32">
      <c r="A32" s="1" t="inlineStr">
        <is>
          <t>SCORE vs Year-1 targets + TOTAL</t>
        </is>
      </c>
    </row>
    <row r="33">
      <c r="A33" s="3" t="inlineStr">
        <is>
          <t>KPI</t>
        </is>
      </c>
      <c r="B33" s="3" t="inlineStr">
        <is>
          <t>Actual</t>
        </is>
      </c>
      <c r="C33" s="3" t="inlineStr">
        <is>
          <t>Target</t>
        </is>
      </c>
      <c r="D33" s="3" t="inlineStr">
        <is>
          <t>Score %</t>
        </is>
      </c>
      <c r="E33" s="3" t="inlineStr">
        <is>
          <t>Weight</t>
        </is>
      </c>
      <c r="F33" s="3" t="inlineStr">
        <is>
          <t>Weighted points</t>
        </is>
      </c>
    </row>
    <row r="34">
      <c r="A34" s="4" t="inlineStr">
        <is>
          <t>OEE</t>
        </is>
      </c>
      <c r="B34" s="8" t="n">
        <v>0.552</v>
      </c>
      <c r="C34" s="8" t="n">
        <v>0.82</v>
      </c>
      <c r="D34" s="9" t="n">
        <v>67.31999999999999</v>
      </c>
      <c r="E34" s="10" t="n">
        <v>0.2</v>
      </c>
      <c r="F34" s="9" t="n">
        <v>13.46</v>
      </c>
    </row>
    <row r="35">
      <c r="A35" s="4" t="inlineStr">
        <is>
          <t>Breakdown frequency</t>
        </is>
      </c>
      <c r="B35" s="8" t="n">
        <v>1</v>
      </c>
      <c r="C35" s="8" t="n">
        <v>15</v>
      </c>
      <c r="D35" s="9" t="n">
        <v>100</v>
      </c>
      <c r="E35" s="10" t="n">
        <v>0.1</v>
      </c>
      <c r="F35" s="9" t="n">
        <v>10</v>
      </c>
    </row>
    <row r="36">
      <c r="A36" s="4" t="inlineStr">
        <is>
          <t>Breakdown hours</t>
        </is>
      </c>
      <c r="B36" s="8" t="n">
        <v>3</v>
      </c>
      <c r="C36" s="8" t="n">
        <v>20</v>
      </c>
      <c r="D36" s="9" t="n">
        <v>100</v>
      </c>
      <c r="E36" s="10" t="n">
        <v>0.15</v>
      </c>
      <c r="F36" s="9" t="n">
        <v>15</v>
      </c>
    </row>
    <row r="37">
      <c r="A37" s="4" t="inlineStr">
        <is>
          <t>PM Compliance</t>
        </is>
      </c>
      <c r="B37" s="8" t="n">
        <v>1</v>
      </c>
      <c r="C37" s="8" t="n">
        <v>0.98</v>
      </c>
      <c r="D37" s="9" t="n">
        <v>100</v>
      </c>
      <c r="E37" s="10" t="n">
        <v>0.2</v>
      </c>
      <c r="F37" s="9" t="n">
        <v>20</v>
      </c>
    </row>
    <row r="38">
      <c r="A38" s="4" t="inlineStr">
        <is>
          <t>MTTR</t>
        </is>
      </c>
      <c r="B38" s="8" t="n">
        <v>3</v>
      </c>
      <c r="C38" s="8" t="n">
        <v>2.5</v>
      </c>
      <c r="D38" s="9" t="n">
        <v>83.33</v>
      </c>
      <c r="E38" s="10" t="n">
        <v>0.15</v>
      </c>
      <c r="F38" s="9" t="n">
        <v>12.5</v>
      </c>
    </row>
    <row r="39">
      <c r="A39" s="4" t="inlineStr">
        <is>
          <t>MTBF</t>
        </is>
      </c>
      <c r="B39" s="8" t="n">
        <v>9</v>
      </c>
      <c r="C39" s="8" t="n">
        <v>150</v>
      </c>
      <c r="D39" s="9" t="n">
        <v>6</v>
      </c>
      <c r="E39" s="10" t="n">
        <v>0.1</v>
      </c>
      <c r="F39" s="9" t="n">
        <v>0.6</v>
      </c>
    </row>
    <row r="40">
      <c r="A40" s="4" t="inlineStr">
        <is>
          <t>Safety</t>
        </is>
      </c>
      <c r="B40" s="8" t="n">
        <v>0</v>
      </c>
      <c r="C40" s="8" t="n">
        <v>0</v>
      </c>
      <c r="D40" s="9" t="n">
        <v>100</v>
      </c>
      <c r="E40" s="10" t="n">
        <v>0.1</v>
      </c>
      <c r="F40" s="9" t="n">
        <v>10</v>
      </c>
    </row>
    <row r="41">
      <c r="A41" s="11" t="inlineStr">
        <is>
          <t>TOTAL KPI SCORE %</t>
        </is>
      </c>
      <c r="B41" s="11" t="n"/>
      <c r="C41" s="11" t="n"/>
      <c r="D41" s="11" t="n"/>
      <c r="E41" s="11" t="n"/>
      <c r="F41" s="11" t="n">
        <v>81.56</v>
      </c>
    </row>
    <row r="42">
      <c r="A42" t="inlineStr">
        <is>
          <t>Bonus example (£324 opportunity)</t>
        </is>
      </c>
      <c r="F42" s="12" t="n">
        <v>264.27</v>
      </c>
    </row>
    <row r="44">
      <c r="A44" s="1" t="inlineStr">
        <is>
          <t>HOW TO FILL YOUR TRAIL SHEET</t>
        </is>
      </c>
    </row>
    <row r="45">
      <c r="A45" t="inlineStr">
        <is>
          <t>1. In column D row 8 type: 1</t>
        </is>
      </c>
    </row>
    <row r="46">
      <c r="A46" t="inlineStr">
        <is>
          <t>2. In D9 type: 9   (or formula =D2)</t>
        </is>
      </c>
    </row>
    <row r="47">
      <c r="A47" t="inlineStr">
        <is>
          <t>3. In D10 and D11 type your real PM numbers (example used 1 and 1)</t>
        </is>
      </c>
    </row>
    <row r="48">
      <c r="A48" t="inlineStr">
        <is>
          <t>4. In D12 type incidents/LTI (example used 0)</t>
        </is>
      </c>
    </row>
    <row r="49">
      <c r="A49" t="inlineStr">
        <is>
          <t>5. In D13 type downtime hours (example used 3 = 12-9). If you know breakdown-only hours, use that instead.</t>
        </is>
      </c>
    </row>
    <row r="50">
      <c r="A50" t="inlineStr">
        <is>
          <t>6. In D14 type: 9   (or =D2)</t>
        </is>
      </c>
    </row>
    <row r="51">
      <c r="A51" t="inlineStr">
        <is>
          <t>7. In D15 type: 1   (or =D8)</t>
        </is>
      </c>
    </row>
    <row r="52">
      <c r="A52" t="inlineStr">
        <is>
          <t>8. Paste green formulas into D16 to D25</t>
        </is>
      </c>
    </row>
    <row r="53">
      <c r="A53" t="inlineStr">
        <is>
          <t>9. Column E (05/08/2026 header on your file): use the same formulas with E instead of D for a second day, or leave blank for one-day only.</t>
        </is>
      </c>
    </row>
  </sheetData>
  <mergeCells count="2">
    <mergeCell ref="A1:F1"/>
    <mergeCell ref="A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12" customWidth="1" min="4" max="4"/>
  </cols>
  <sheetData>
    <row r="1">
      <c r="A1" s="3" t="inlineStr">
        <is>
          <t>Your row</t>
        </is>
      </c>
      <c r="B1" s="3" t="inlineStr">
        <is>
          <t>Label</t>
        </is>
      </c>
      <c r="C1" s="3" t="inlineStr">
        <is>
          <t>Put this in column D</t>
        </is>
      </c>
      <c r="D1" s="3" t="inlineStr">
        <is>
          <t>Result</t>
        </is>
      </c>
    </row>
    <row r="2">
      <c r="A2" s="4" t="n">
        <v>2</v>
      </c>
      <c r="B2" s="4" t="inlineStr">
        <is>
          <t>Actual Operating Time</t>
        </is>
      </c>
      <c r="C2" s="5" t="n">
        <v>9</v>
      </c>
      <c r="D2" s="13" t="n">
        <v>9</v>
      </c>
    </row>
    <row r="3">
      <c r="A3" s="4" t="n">
        <v>3</v>
      </c>
      <c r="B3" s="4" t="inlineStr">
        <is>
          <t>Planned Production Time</t>
        </is>
      </c>
      <c r="C3" s="5" t="n">
        <v>12</v>
      </c>
      <c r="D3" s="13" t="n">
        <v>12</v>
      </c>
    </row>
    <row r="4">
      <c r="A4" s="4" t="n">
        <v>4</v>
      </c>
      <c r="B4" s="4" t="inlineStr">
        <is>
          <t>Actual Production Rate</t>
        </is>
      </c>
      <c r="C4" s="5" t="n">
        <v>92</v>
      </c>
      <c r="D4" s="13" t="n">
        <v>92</v>
      </c>
    </row>
    <row r="5">
      <c r="A5" s="4" t="n">
        <v>5</v>
      </c>
      <c r="B5" s="4" t="inlineStr">
        <is>
          <t>Ideal Production Rate</t>
        </is>
      </c>
      <c r="C5" s="5" t="n">
        <v>100</v>
      </c>
      <c r="D5" s="13" t="n">
        <v>100</v>
      </c>
    </row>
    <row r="6">
      <c r="A6" s="4" t="n">
        <v>6</v>
      </c>
      <c r="B6" s="4" t="inlineStr">
        <is>
          <t>Goods units produced</t>
        </is>
      </c>
      <c r="C6" s="5" t="n">
        <v>8000</v>
      </c>
      <c r="D6" s="13" t="n">
        <v>8000</v>
      </c>
    </row>
    <row r="7">
      <c r="A7" s="4" t="n">
        <v>7</v>
      </c>
      <c r="B7" s="4" t="inlineStr">
        <is>
          <t>Total number of units produced</t>
        </is>
      </c>
      <c r="C7" s="5" t="n">
        <v>10000</v>
      </c>
      <c r="D7" s="13" t="n">
        <v>10000</v>
      </c>
    </row>
    <row r="8">
      <c r="A8" s="4" t="n">
        <v>8</v>
      </c>
      <c r="B8" s="4" t="inlineStr">
        <is>
          <t>Total Number of breakdowns</t>
        </is>
      </c>
      <c r="C8" s="5" t="n">
        <v>1</v>
      </c>
      <c r="D8" s="13" t="n">
        <v>1</v>
      </c>
    </row>
    <row r="9">
      <c r="A9" s="4" t="n">
        <v>9</v>
      </c>
      <c r="B9" s="4" t="inlineStr">
        <is>
          <t>Total Number of Operating Hours</t>
        </is>
      </c>
      <c r="C9" s="8">
        <f>D2</f>
        <v/>
      </c>
      <c r="D9" s="13" t="n">
        <v>9</v>
      </c>
    </row>
    <row r="10">
      <c r="A10" s="4" t="n">
        <v>10</v>
      </c>
      <c r="B10" s="4" t="inlineStr">
        <is>
          <t>Planned Preventive Maintenance</t>
        </is>
      </c>
      <c r="C10" s="5" t="n">
        <v>1</v>
      </c>
      <c r="D10" s="13" t="n">
        <v>1</v>
      </c>
    </row>
    <row r="11">
      <c r="A11" s="4" t="n">
        <v>11</v>
      </c>
      <c r="B11" s="4" t="inlineStr">
        <is>
          <t>Completed Preventive Maintenance</t>
        </is>
      </c>
      <c r="C11" s="5" t="n">
        <v>1</v>
      </c>
      <c r="D11" s="13" t="n">
        <v>1</v>
      </c>
    </row>
    <row r="12">
      <c r="A12" s="4" t="n">
        <v>12</v>
      </c>
      <c r="B12" s="4" t="inlineStr">
        <is>
          <t>No of incidents</t>
        </is>
      </c>
      <c r="C12" s="5" t="n">
        <v>0</v>
      </c>
      <c r="D12" s="13" t="n">
        <v>0</v>
      </c>
    </row>
    <row r="13">
      <c r="A13" s="4" t="n">
        <v>13</v>
      </c>
      <c r="B13" s="4" t="inlineStr">
        <is>
          <t>Total Down Time</t>
        </is>
      </c>
      <c r="C13" s="8">
        <f>D3-D2</f>
        <v/>
      </c>
      <c r="D13" s="13" t="n">
        <v>3</v>
      </c>
    </row>
    <row r="14">
      <c r="A14" s="4" t="n">
        <v>14</v>
      </c>
      <c r="B14" s="4" t="inlineStr">
        <is>
          <t>Total Operational Time</t>
        </is>
      </c>
      <c r="C14" s="8">
        <f>D2</f>
        <v/>
      </c>
      <c r="D14" s="13" t="n">
        <v>9</v>
      </c>
    </row>
    <row r="15">
      <c r="A15" s="4" t="n">
        <v>15</v>
      </c>
      <c r="B15" s="4" t="inlineStr">
        <is>
          <t>No of Failures</t>
        </is>
      </c>
      <c r="C15" s="8">
        <f>D8</f>
        <v/>
      </c>
      <c r="D15" s="13" t="n">
        <v>1</v>
      </c>
    </row>
    <row r="16">
      <c r="A16" s="4" t="n">
        <v>16</v>
      </c>
      <c r="B16" s="4" t="inlineStr">
        <is>
          <t>Availability</t>
        </is>
      </c>
      <c r="C16" s="8">
        <f>D2/D3</f>
        <v/>
      </c>
      <c r="D16" s="14" t="n">
        <v>0.75</v>
      </c>
    </row>
    <row r="17">
      <c r="A17" s="4" t="n">
        <v>17</v>
      </c>
      <c r="B17" s="4" t="inlineStr">
        <is>
          <t>Performance</t>
        </is>
      </c>
      <c r="C17" s="8">
        <f>D4/D5</f>
        <v/>
      </c>
      <c r="D17" s="14" t="n">
        <v>0.92</v>
      </c>
    </row>
    <row r="18">
      <c r="A18" s="4" t="n">
        <v>18</v>
      </c>
      <c r="B18" s="4" t="inlineStr">
        <is>
          <t>Quality</t>
        </is>
      </c>
      <c r="C18" s="8">
        <f>D6/D7</f>
        <v/>
      </c>
      <c r="D18" s="14" t="n">
        <v>0.8</v>
      </c>
    </row>
    <row r="19">
      <c r="A19" s="4" t="n">
        <v>19</v>
      </c>
      <c r="B19" s="4" t="inlineStr">
        <is>
          <t>OEE</t>
        </is>
      </c>
      <c r="C19" s="8">
        <f>D16*D17*D18</f>
        <v/>
      </c>
      <c r="D19" s="14" t="n">
        <v>0.552</v>
      </c>
    </row>
    <row r="20">
      <c r="A20" s="4" t="n">
        <v>20</v>
      </c>
      <c r="B20" s="4" t="inlineStr">
        <is>
          <t>Breakdown frequency</t>
        </is>
      </c>
      <c r="C20" s="8">
        <f>D8</f>
        <v/>
      </c>
      <c r="D20" s="14" t="n">
        <v>1</v>
      </c>
    </row>
    <row r="21">
      <c r="A21" s="4" t="n">
        <v>21</v>
      </c>
      <c r="B21" s="4" t="inlineStr">
        <is>
          <t>Breakdown hours</t>
        </is>
      </c>
      <c r="C21" s="8">
        <f>D13</f>
        <v/>
      </c>
      <c r="D21" s="14" t="n">
        <v>3</v>
      </c>
    </row>
    <row r="22">
      <c r="A22" s="4" t="n">
        <v>22</v>
      </c>
      <c r="B22" s="4" t="inlineStr">
        <is>
          <t>PM Compliance</t>
        </is>
      </c>
      <c r="C22" s="8">
        <f>IF(D10=0,"",D11/D10)</f>
        <v/>
      </c>
      <c r="D22" s="14" t="n">
        <v>1</v>
      </c>
    </row>
    <row r="23">
      <c r="A23" s="4" t="n">
        <v>23</v>
      </c>
      <c r="B23" s="4" t="inlineStr">
        <is>
          <t>MTTR</t>
        </is>
      </c>
      <c r="C23" s="8">
        <f>IF(D8=0,0,D13/D8)</f>
        <v/>
      </c>
      <c r="D23" s="14" t="n">
        <v>3</v>
      </c>
    </row>
    <row r="24">
      <c r="A24" s="4" t="n">
        <v>24</v>
      </c>
      <c r="B24" s="4" t="inlineStr">
        <is>
          <t>MTBF</t>
        </is>
      </c>
      <c r="C24" s="8">
        <f>IF(D15=0,D14,D14/D15)</f>
        <v/>
      </c>
      <c r="D24" s="14" t="n">
        <v>9</v>
      </c>
    </row>
    <row r="25">
      <c r="A25" s="4" t="n">
        <v>25</v>
      </c>
      <c r="B25" s="4" t="inlineStr">
        <is>
          <t>Safety</t>
        </is>
      </c>
      <c r="C25" s="8">
        <f>D12</f>
        <v/>
      </c>
      <c r="D25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2026-08-06T13:29:43Z</dcterms:created>
  <dcterms:modified xsi:type="dcterms:W3CDTF">2026-08-06T13:29:43Z</dcterms:modified>
</cp:coreProperties>
</file>