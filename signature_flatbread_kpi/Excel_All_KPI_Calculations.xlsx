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_First" sheetId="1" state="visible" r:id="rId1"/>
    <sheet name="Monthly_Input" sheetId="2" state="visible" r:id="rId2"/>
    <sheet name="KPI_Calculations" sheetId="3" state="visible" r:id="rId3"/>
    <sheet name="How_Formulas_Work" sheetId="4" state="visible" r:id="rId4"/>
    <sheet name="P1_Worked_Example" sheetId="5" state="visible" r:id="rId5"/>
    <sheet name="Answers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£#,##0.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b val="1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  <font>
      <b val="1"/>
      <color rgb="001F4E79"/>
      <sz val="14"/>
    </font>
    <font>
      <b val="1"/>
      <sz val="14"/>
    </font>
    <font>
      <i val="1"/>
      <color rgb="00C00000"/>
    </font>
    <font>
      <i val="1"/>
    </font>
    <font>
      <i val="1"/>
      <color rgb="00666666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1" pivotButton="0" quotePrefix="0" xfId="0"/>
    <xf numFmtId="9" fontId="0" fillId="3" borderId="1" pivotButton="0" quotePrefix="0" xfId="0"/>
    <xf numFmtId="9" fontId="0" fillId="4" borderId="0" pivotButton="0" quotePrefix="0" xfId="0"/>
    <xf numFmtId="2" fontId="0" fillId="4" borderId="1" pivotButton="0" quotePrefix="0" xfId="0"/>
    <xf numFmtId="1" fontId="0" fillId="4" borderId="1" pivotButton="0" quotePrefix="0" xfId="0"/>
    <xf numFmtId="164" fontId="0" fillId="4" borderId="1" pivotButton="0" quotePrefix="0" xfId="0"/>
    <xf numFmtId="2" fontId="0" fillId="3" borderId="1" pivotButton="0" quotePrefix="0" xfId="0"/>
    <xf numFmtId="165" fontId="0" fillId="4" borderId="1" pivotButton="0" quotePrefix="0" xfId="0"/>
    <xf numFmtId="0" fontId="2" fillId="6" borderId="1" pivotButton="0" quotePrefix="0" xfId="0"/>
    <xf numFmtId="2" fontId="2" fillId="6" borderId="1" pivotButton="0" quotePrefix="0" xfId="0"/>
    <xf numFmtId="0" fontId="5" fillId="0" borderId="0" pivotButton="0" quotePrefix="0" xfId="0"/>
    <xf numFmtId="2" fontId="6" fillId="6" borderId="1" pivotButton="0" quotePrefix="0" xfId="0"/>
    <xf numFmtId="166" fontId="0" fillId="4" borderId="1" pivotButton="0" quotePrefix="0" xfId="0"/>
    <xf numFmtId="0" fontId="7" fillId="0" borderId="0" pivotButton="0" quotePrefix="0" xfId="0"/>
    <xf numFmtId="0" fontId="3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0" borderId="0" pivotButton="0" quotePrefix="0" xfId="0"/>
    <xf numFmtId="0" fontId="0" fillId="2" borderId="1" pivotButton="0" quotePrefix="0" xfId="0"/>
    <xf numFmtId="0" fontId="9" fillId="0" borderId="0" pivotButton="0" quotePrefix="0" xfId="0"/>
    <xf numFmtId="0" fontId="10" fillId="6" borderId="1" pivotButton="0" quotePrefix="0" xfId="0"/>
    <xf numFmtId="2" fontId="6" fillId="6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ALL KPI CALCULATIONS — Signature Flatbreads (Junior guide)</t>
        </is>
      </c>
    </row>
    <row r="3">
      <c r="A3" s="2" t="inlineStr">
        <is>
          <t>Yellow cells</t>
        </is>
      </c>
      <c r="B3" t="inlineStr">
        <is>
          <t>TYPE your monthly numbers here</t>
        </is>
      </c>
    </row>
    <row r="4">
      <c r="A4" s="3" t="inlineStr">
        <is>
          <t>Blue cells</t>
        </is>
      </c>
      <c r="B4" t="inlineStr">
        <is>
          <t>TARGETS (Year 1) — do not change unless manager says</t>
        </is>
      </c>
    </row>
    <row r="5">
      <c r="A5" s="4" t="inlineStr">
        <is>
          <t>Green cells</t>
        </is>
      </c>
      <c r="B5" t="inlineStr">
        <is>
          <t>FORMULAS — Excel calculates these</t>
        </is>
      </c>
    </row>
    <row r="6">
      <c r="A6" t="inlineStr"/>
      <c r="B6" t="inlineStr"/>
    </row>
    <row r="7">
      <c r="A7" t="inlineStr">
        <is>
          <t>How to use</t>
        </is>
      </c>
      <c r="B7" t="inlineStr"/>
    </row>
    <row r="8">
      <c r="A8" t="inlineStr">
        <is>
          <t>1</t>
        </is>
      </c>
      <c r="B8" t="inlineStr">
        <is>
          <t>Go to sheet «Monthly_Input» — enter data for P1, T1, T2, L8, L9</t>
        </is>
      </c>
    </row>
    <row r="9">
      <c r="A9" t="inlineStr">
        <is>
          <t>2</t>
        </is>
      </c>
      <c r="B9" t="inlineStr">
        <is>
          <t>Go to sheet «KPI_Calculations» — see every KPI Actual, Score, Weighted, TOTAL</t>
        </is>
      </c>
    </row>
    <row r="10">
      <c r="A10" t="inlineStr">
        <is>
          <t>3</t>
        </is>
      </c>
      <c r="B10" t="inlineStr">
        <is>
          <t>Go to sheet «How_Formulas_Work» — plain English of each formula</t>
        </is>
      </c>
    </row>
    <row r="11">
      <c r="A11" t="inlineStr"/>
      <c r="B11" t="inlineStr"/>
    </row>
    <row r="12">
      <c r="A12" t="inlineStr">
        <is>
          <t>Lines</t>
        </is>
      </c>
      <c r="B12" t="inlineStr">
        <is>
          <t>P1=Pancake | T1 &amp; T2=Tortilla wrap | L8 &amp; L9=Lines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STEP 1 — TYPE ACTUAL DATA (yellow). One column per line.</t>
        </is>
      </c>
    </row>
    <row r="2">
      <c r="A2" t="inlineStr">
        <is>
          <t>Month</t>
        </is>
      </c>
      <c r="B2" s="5" t="inlineStr">
        <is>
          <t>2026-07</t>
        </is>
      </c>
    </row>
    <row r="4">
      <c r="A4" s="6" t="inlineStr">
        <is>
          <t>Field (what to type)</t>
        </is>
      </c>
      <c r="B4" s="6" t="inlineStr">
        <is>
          <t>Unit</t>
        </is>
      </c>
      <c r="C4" s="6" t="inlineStr">
        <is>
          <t>P1</t>
        </is>
      </c>
      <c r="D4" s="6" t="inlineStr">
        <is>
          <t>T1</t>
        </is>
      </c>
      <c r="E4" s="6" t="inlineStr">
        <is>
          <t>T2</t>
        </is>
      </c>
      <c r="F4" s="6" t="inlineStr">
        <is>
          <t>L8</t>
        </is>
      </c>
      <c r="G4" s="6" t="inlineStr">
        <is>
          <t>L9</t>
        </is>
      </c>
    </row>
    <row r="5">
      <c r="A5" t="inlineStr">
        <is>
          <t>Machine name</t>
        </is>
      </c>
      <c r="B5" t="inlineStr"/>
      <c r="C5" s="7" t="inlineStr">
        <is>
          <t>Pancake</t>
        </is>
      </c>
      <c r="D5" s="7" t="inlineStr">
        <is>
          <t>Tortilla wrap</t>
        </is>
      </c>
      <c r="E5" s="7" t="inlineStr">
        <is>
          <t>Tortilla wrap</t>
        </is>
      </c>
      <c r="F5" s="7" t="inlineStr">
        <is>
          <t>Line L8</t>
        </is>
      </c>
      <c r="G5" s="7" t="inlineStr">
        <is>
          <t>Line L9</t>
        </is>
      </c>
    </row>
    <row r="6">
      <c r="A6" s="8" t="inlineStr">
        <is>
          <t>Planned production time</t>
        </is>
      </c>
      <c r="B6" s="8" t="inlineStr">
        <is>
          <t>hours</t>
        </is>
      </c>
      <c r="C6" s="9" t="n">
        <v>480</v>
      </c>
      <c r="D6" s="9" t="n">
        <v>480</v>
      </c>
      <c r="E6" s="9" t="n">
        <v>480</v>
      </c>
      <c r="F6" s="9" t="n">
        <v>480</v>
      </c>
      <c r="G6" s="9" t="n">
        <v>480</v>
      </c>
    </row>
    <row r="7">
      <c r="A7" s="8" t="inlineStr">
        <is>
          <t>Actual operating time</t>
        </is>
      </c>
      <c r="B7" s="8" t="inlineStr">
        <is>
          <t>hours</t>
        </is>
      </c>
      <c r="C7" s="9" t="n">
        <v>420</v>
      </c>
      <c r="D7" s="9" t="n">
        <v>400</v>
      </c>
      <c r="E7" s="9" t="n">
        <v>410</v>
      </c>
      <c r="F7" s="9" t="n">
        <v>435</v>
      </c>
      <c r="G7" s="9" t="n">
        <v>390</v>
      </c>
    </row>
    <row r="8">
      <c r="A8" s="8" t="inlineStr">
        <is>
          <t>Ideal production rate</t>
        </is>
      </c>
      <c r="B8" s="8" t="inlineStr">
        <is>
          <t>units/hour</t>
        </is>
      </c>
      <c r="C8" s="9" t="n">
        <v>1200</v>
      </c>
      <c r="D8" s="9" t="n">
        <v>1000</v>
      </c>
      <c r="E8" s="9" t="n">
        <v>1000</v>
      </c>
      <c r="F8" s="9" t="n">
        <v>900</v>
      </c>
      <c r="G8" s="9" t="n">
        <v>900</v>
      </c>
    </row>
    <row r="9">
      <c r="A9" s="8" t="inlineStr">
        <is>
          <t>Total units produced</t>
        </is>
      </c>
      <c r="B9" s="8" t="inlineStr">
        <is>
          <t>units</t>
        </is>
      </c>
      <c r="C9" s="9" t="n">
        <v>480000</v>
      </c>
      <c r="D9" s="9" t="n">
        <v>380000</v>
      </c>
      <c r="E9" s="9" t="n">
        <v>395000</v>
      </c>
      <c r="F9" s="9" t="n">
        <v>375000</v>
      </c>
      <c r="G9" s="9" t="n">
        <v>340000</v>
      </c>
    </row>
    <row r="10">
      <c r="A10" s="8" t="inlineStr">
        <is>
          <t>Good units produced</t>
        </is>
      </c>
      <c r="B10" s="8" t="inlineStr">
        <is>
          <t>units</t>
        </is>
      </c>
      <c r="C10" s="9" t="n">
        <v>465600</v>
      </c>
      <c r="D10" s="9" t="n">
        <v>372400</v>
      </c>
      <c r="E10" s="9" t="n">
        <v>387100</v>
      </c>
      <c r="F10" s="9" t="n">
        <v>367500</v>
      </c>
      <c r="G10" s="9" t="n">
        <v>329800</v>
      </c>
    </row>
    <row r="11">
      <c r="A11" s="8" t="inlineStr">
        <is>
          <t>Breakdown count</t>
        </is>
      </c>
      <c r="B11" s="8" t="inlineStr">
        <is>
          <t>count</t>
        </is>
      </c>
      <c r="C11" s="9" t="n">
        <v>12</v>
      </c>
      <c r="D11" s="9" t="n">
        <v>14</v>
      </c>
      <c r="E11" s="9" t="n">
        <v>11</v>
      </c>
      <c r="F11" s="9" t="n">
        <v>9</v>
      </c>
      <c r="G11" s="9" t="n">
        <v>16</v>
      </c>
    </row>
    <row r="12">
      <c r="A12" s="8" t="inlineStr">
        <is>
          <t>Breakdown hours</t>
        </is>
      </c>
      <c r="B12" s="8" t="inlineStr">
        <is>
          <t>hours</t>
        </is>
      </c>
      <c r="C12" s="9" t="n">
        <v>18.5</v>
      </c>
      <c r="D12" s="9" t="n">
        <v>19</v>
      </c>
      <c r="E12" s="9" t="n">
        <v>16</v>
      </c>
      <c r="F12" s="9" t="n">
        <v>14</v>
      </c>
      <c r="G12" s="9" t="n">
        <v>22</v>
      </c>
    </row>
    <row r="13">
      <c r="A13" s="8" t="inlineStr">
        <is>
          <t>Planned PM jobs</t>
        </is>
      </c>
      <c r="B13" s="8" t="inlineStr">
        <is>
          <t>count</t>
        </is>
      </c>
      <c r="C13" s="9" t="n">
        <v>25</v>
      </c>
      <c r="D13" s="9" t="n">
        <v>30</v>
      </c>
      <c r="E13" s="9" t="n">
        <v>28</v>
      </c>
      <c r="F13" s="9" t="n">
        <v>22</v>
      </c>
      <c r="G13" s="9" t="n">
        <v>20</v>
      </c>
    </row>
    <row r="14">
      <c r="A14" s="8" t="inlineStr">
        <is>
          <t>Completed PM on time</t>
        </is>
      </c>
      <c r="B14" s="8" t="inlineStr">
        <is>
          <t>count</t>
        </is>
      </c>
      <c r="C14" s="9" t="n">
        <v>24</v>
      </c>
      <c r="D14" s="9" t="n">
        <v>29</v>
      </c>
      <c r="E14" s="9" t="n">
        <v>27</v>
      </c>
      <c r="F14" s="9" t="n">
        <v>22</v>
      </c>
      <c r="G14" s="9" t="n">
        <v>18</v>
      </c>
    </row>
    <row r="15">
      <c r="A15" s="8" t="inlineStr">
        <is>
          <t>Operational hours (for MTBF)</t>
        </is>
      </c>
      <c r="B15" s="8" t="inlineStr">
        <is>
          <t>hours</t>
        </is>
      </c>
      <c r="C15" s="9" t="n">
        <v>420</v>
      </c>
      <c r="D15" s="9" t="n">
        <v>400</v>
      </c>
      <c r="E15" s="9" t="n">
        <v>410</v>
      </c>
      <c r="F15" s="9" t="n">
        <v>435</v>
      </c>
      <c r="G15" s="9" t="n">
        <v>390</v>
      </c>
    </row>
    <row r="16">
      <c r="A16" s="8" t="inlineStr">
        <is>
          <t>LTI count (Safety)</t>
        </is>
      </c>
      <c r="B16" s="8" t="inlineStr">
        <is>
          <t>count</t>
        </is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</row>
    <row r="18">
      <c r="A18" s="10" t="inlineStr">
        <is>
          <t>Year 1 Targets (blue) — used by calculations</t>
        </is>
      </c>
    </row>
    <row r="19">
      <c r="A19" s="8" t="inlineStr">
        <is>
          <t>OEE target %</t>
        </is>
      </c>
      <c r="B19" s="11" t="n">
        <v>82</v>
      </c>
    </row>
    <row r="20">
      <c r="A20" s="8" t="inlineStr">
        <is>
          <t>Breakdown Frequency target</t>
        </is>
      </c>
      <c r="B20" s="11" t="n">
        <v>15</v>
      </c>
    </row>
    <row r="21">
      <c r="A21" s="8" t="inlineStr">
        <is>
          <t>Breakdown Hours target</t>
        </is>
      </c>
      <c r="B21" s="11" t="n">
        <v>20</v>
      </c>
    </row>
    <row r="22">
      <c r="A22" s="8" t="inlineStr">
        <is>
          <t>PM Compliance target %</t>
        </is>
      </c>
      <c r="B22" s="11" t="n">
        <v>98</v>
      </c>
    </row>
    <row r="23">
      <c r="A23" s="8" t="inlineStr">
        <is>
          <t>MTTR target hours</t>
        </is>
      </c>
      <c r="B23" s="11" t="n">
        <v>2.5</v>
      </c>
    </row>
    <row r="24">
      <c r="A24" s="8" t="inlineStr">
        <is>
          <t>MTBF target hours</t>
        </is>
      </c>
      <c r="B24" s="11" t="n">
        <v>150</v>
      </c>
    </row>
    <row r="25">
      <c r="A25" s="8" t="inlineStr">
        <is>
          <t>Safety target LTI</t>
        </is>
      </c>
      <c r="B25" s="11" t="n">
        <v>0</v>
      </c>
    </row>
    <row r="27">
      <c r="A27" s="10" t="inlineStr">
        <is>
          <t>Weights</t>
        </is>
      </c>
    </row>
    <row r="28">
      <c r="A28" s="8" t="inlineStr">
        <is>
          <t>OEE weight</t>
        </is>
      </c>
      <c r="B28" s="12" t="n">
        <v>0.2</v>
      </c>
    </row>
    <row r="29">
      <c r="A29" s="8" t="inlineStr">
        <is>
          <t>Breakdown Frequency weight</t>
        </is>
      </c>
      <c r="B29" s="12" t="n">
        <v>0.1</v>
      </c>
    </row>
    <row r="30">
      <c r="A30" s="8" t="inlineStr">
        <is>
          <t>Breakdown Hours weight</t>
        </is>
      </c>
      <c r="B30" s="12" t="n">
        <v>0.15</v>
      </c>
    </row>
    <row r="31">
      <c r="A31" s="8" t="inlineStr">
        <is>
          <t>PM Compliance weight</t>
        </is>
      </c>
      <c r="B31" s="12" t="n">
        <v>0.2</v>
      </c>
    </row>
    <row r="32">
      <c r="A32" s="8" t="inlineStr">
        <is>
          <t>MTTR weight</t>
        </is>
      </c>
      <c r="B32" s="12" t="n">
        <v>0.15</v>
      </c>
    </row>
    <row r="33">
      <c r="A33" s="8" t="inlineStr">
        <is>
          <t>MTBF weight</t>
        </is>
      </c>
      <c r="B33" s="12" t="n">
        <v>0.1</v>
      </c>
    </row>
    <row r="34">
      <c r="A34" s="8" t="inlineStr">
        <is>
          <t>Safety weight</t>
        </is>
      </c>
      <c r="B34" s="12" t="n">
        <v>0.1</v>
      </c>
    </row>
    <row r="35">
      <c r="A35" t="inlineStr">
        <is>
          <t>Weight total</t>
        </is>
      </c>
      <c r="B35" s="13">
        <f>SUM(B28:B34)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STEP 2 — ALL KPI VALUES CALCULATED AUTOMATICALLY</t>
        </is>
      </c>
    </row>
    <row r="2">
      <c r="A2" t="inlineStr">
        <is>
          <t>Month:</t>
        </is>
      </c>
      <c r="B2" s="4">
        <f>Monthly_Input!B2</f>
        <v/>
      </c>
    </row>
    <row r="4">
      <c r="A4" s="10" t="inlineStr">
        <is>
          <t>A) ACTUAL KPI VALUES (calculated from Monthly_Input)</t>
        </is>
      </c>
    </row>
    <row r="5">
      <c r="A5" s="6" t="inlineStr">
        <is>
          <t>KPI</t>
        </is>
      </c>
      <c r="B5" s="6" t="inlineStr">
        <is>
          <t>How calculated</t>
        </is>
      </c>
      <c r="C5" s="6" t="inlineStr">
        <is>
          <t>P1</t>
        </is>
      </c>
      <c r="D5" s="6" t="inlineStr">
        <is>
          <t>T1</t>
        </is>
      </c>
      <c r="E5" s="6" t="inlineStr">
        <is>
          <t>T2</t>
        </is>
      </c>
      <c r="F5" s="6" t="inlineStr">
        <is>
          <t>L8</t>
        </is>
      </c>
      <c r="G5" s="6" t="inlineStr">
        <is>
          <t>L9</t>
        </is>
      </c>
    </row>
    <row r="6">
      <c r="A6" s="8" t="inlineStr">
        <is>
          <t>1. OEE %</t>
        </is>
      </c>
      <c r="B6" s="8" t="inlineStr">
        <is>
          <t>Avail × Perf × Qual × 100</t>
        </is>
      </c>
      <c r="C6" s="14">
        <f>IF(Monthly_Input!C6=0,0,((Monthly_Input!C7/Monthly_Input!C6)*((Monthly_Input!C9/Monthly_Input!C7)/Monthly_Input!C8)*(Monthly_Input!C10/Monthly_Input!C9))*100)</f>
        <v/>
      </c>
      <c r="D6" s="14">
        <f>IF(Monthly_Input!D6=0,0,((Monthly_Input!D7/Monthly_Input!D6)*((Monthly_Input!D9/Monthly_Input!D7)/Monthly_Input!D8)*(Monthly_Input!D10/Monthly_Input!D9))*100)</f>
        <v/>
      </c>
      <c r="E6" s="14">
        <f>IF(Monthly_Input!E6=0,0,((Monthly_Input!E7/Monthly_Input!E6)*((Monthly_Input!E9/Monthly_Input!E7)/Monthly_Input!E8)*(Monthly_Input!E10/Monthly_Input!E9))*100)</f>
        <v/>
      </c>
      <c r="F6" s="14">
        <f>IF(Monthly_Input!F6=0,0,((Monthly_Input!F7/Monthly_Input!F6)*((Monthly_Input!F9/Monthly_Input!F7)/Monthly_Input!F8)*(Monthly_Input!F10/Monthly_Input!F9))*100)</f>
        <v/>
      </c>
      <c r="G6" s="14">
        <f>IF(Monthly_Input!G6=0,0,((Monthly_Input!G7/Monthly_Input!G6)*((Monthly_Input!G9/Monthly_Input!G7)/Monthly_Input!G8)*(Monthly_Input!G10/Monthly_Input!G9))*100)</f>
        <v/>
      </c>
    </row>
    <row r="7">
      <c r="A7" s="8" t="inlineStr">
        <is>
          <t>2. Breakdown Frequency</t>
        </is>
      </c>
      <c r="B7" s="8" t="inlineStr">
        <is>
          <t>Breakdown count</t>
        </is>
      </c>
      <c r="C7" s="15">
        <f>Monthly_Input!C11</f>
        <v/>
      </c>
      <c r="D7" s="15">
        <f>Monthly_Input!D11</f>
        <v/>
      </c>
      <c r="E7" s="15">
        <f>Monthly_Input!E11</f>
        <v/>
      </c>
      <c r="F7" s="15">
        <f>Monthly_Input!F11</f>
        <v/>
      </c>
      <c r="G7" s="15">
        <f>Monthly_Input!G11</f>
        <v/>
      </c>
    </row>
    <row r="8">
      <c r="A8" s="8" t="inlineStr">
        <is>
          <t>3. Breakdown Hours</t>
        </is>
      </c>
      <c r="B8" s="8" t="inlineStr">
        <is>
          <t>Total breakdown downtime hours</t>
        </is>
      </c>
      <c r="C8" s="14">
        <f>Monthly_Input!C12</f>
        <v/>
      </c>
      <c r="D8" s="14">
        <f>Monthly_Input!D12</f>
        <v/>
      </c>
      <c r="E8" s="14">
        <f>Monthly_Input!E12</f>
        <v/>
      </c>
      <c r="F8" s="14">
        <f>Monthly_Input!F12</f>
        <v/>
      </c>
      <c r="G8" s="14">
        <f>Monthly_Input!G12</f>
        <v/>
      </c>
    </row>
    <row r="9">
      <c r="A9" s="8" t="inlineStr">
        <is>
          <t>4. PM Compliance %</t>
        </is>
      </c>
      <c r="B9" s="8" t="inlineStr">
        <is>
          <t>Completed on time ÷ Planned × 100</t>
        </is>
      </c>
      <c r="C9" s="14">
        <f>IF(Monthly_Input!C13=0,0,Monthly_Input!C14/Monthly_Input!C13*100)</f>
        <v/>
      </c>
      <c r="D9" s="14">
        <f>IF(Monthly_Input!D13=0,0,Monthly_Input!D14/Monthly_Input!D13*100)</f>
        <v/>
      </c>
      <c r="E9" s="14">
        <f>IF(Monthly_Input!E13=0,0,Monthly_Input!E14/Monthly_Input!E13*100)</f>
        <v/>
      </c>
      <c r="F9" s="14">
        <f>IF(Monthly_Input!F13=0,0,Monthly_Input!F14/Monthly_Input!F13*100)</f>
        <v/>
      </c>
      <c r="G9" s="14">
        <f>IF(Monthly_Input!G13=0,0,Monthly_Input!G14/Monthly_Input!G13*100)</f>
        <v/>
      </c>
    </row>
    <row r="10">
      <c r="A10" s="8" t="inlineStr">
        <is>
          <t>5. MTTR (hours)</t>
        </is>
      </c>
      <c r="B10" s="8" t="inlineStr">
        <is>
          <t>Breakdown hours ÷ Breakdown count</t>
        </is>
      </c>
      <c r="C10" s="16">
        <f>IF(Monthly_Input!C11=0,0,Monthly_Input!C12/Monthly_Input!C11)</f>
        <v/>
      </c>
      <c r="D10" s="16">
        <f>IF(Monthly_Input!D11=0,0,Monthly_Input!D12/Monthly_Input!D11)</f>
        <v/>
      </c>
      <c r="E10" s="16">
        <f>IF(Monthly_Input!E11=0,0,Monthly_Input!E12/Monthly_Input!E11)</f>
        <v/>
      </c>
      <c r="F10" s="16">
        <f>IF(Monthly_Input!F11=0,0,Monthly_Input!F12/Monthly_Input!F11)</f>
        <v/>
      </c>
      <c r="G10" s="16">
        <f>IF(Monthly_Input!G11=0,0,Monthly_Input!G12/Monthly_Input!G11)</f>
        <v/>
      </c>
    </row>
    <row r="11">
      <c r="A11" s="8" t="inlineStr">
        <is>
          <t>6. MTBF (hours)</t>
        </is>
      </c>
      <c r="B11" s="8" t="inlineStr">
        <is>
          <t>Operational hours ÷ Breakdown count</t>
        </is>
      </c>
      <c r="C11" s="14">
        <f>IF(Monthly_Input!C11=0,Monthly_Input!C15,Monthly_Input!C15/Monthly_Input!C11)</f>
        <v/>
      </c>
      <c r="D11" s="14">
        <f>IF(Monthly_Input!D11=0,Monthly_Input!D15,Monthly_Input!D15/Monthly_Input!D11)</f>
        <v/>
      </c>
      <c r="E11" s="14">
        <f>IF(Monthly_Input!E11=0,Monthly_Input!E15,Monthly_Input!E15/Monthly_Input!E11)</f>
        <v/>
      </c>
      <c r="F11" s="14">
        <f>IF(Monthly_Input!F11=0,Monthly_Input!F15,Monthly_Input!F15/Monthly_Input!F11)</f>
        <v/>
      </c>
      <c r="G11" s="14">
        <f>IF(Monthly_Input!G11=0,Monthly_Input!G15,Monthly_Input!G15/Monthly_Input!G11)</f>
        <v/>
      </c>
    </row>
    <row r="12">
      <c r="A12" s="8" t="inlineStr">
        <is>
          <t>7. Safety (LTI count)</t>
        </is>
      </c>
      <c r="B12" s="8" t="inlineStr">
        <is>
          <t>Lost Time Injuries this month</t>
        </is>
      </c>
      <c r="C12" s="15">
        <f>Monthly_Input!C16</f>
        <v/>
      </c>
      <c r="D12" s="15">
        <f>Monthly_Input!D16</f>
        <v/>
      </c>
      <c r="E12" s="15">
        <f>Monthly_Input!E16</f>
        <v/>
      </c>
      <c r="F12" s="15">
        <f>Monthly_Input!F16</f>
        <v/>
      </c>
      <c r="G12" s="15">
        <f>Monthly_Input!G16</f>
        <v/>
      </c>
    </row>
    <row r="14">
      <c r="A14" s="10" t="inlineStr">
        <is>
          <t>B) SCORE % vs Year 1 TARGET (capped at 100%)</t>
        </is>
      </c>
    </row>
    <row r="15">
      <c r="A15" s="6" t="inlineStr">
        <is>
          <t>KPI</t>
        </is>
      </c>
      <c r="B15" s="6" t="inlineStr">
        <is>
          <t>Target</t>
        </is>
      </c>
      <c r="C15" s="6" t="inlineStr">
        <is>
          <t>Weight</t>
        </is>
      </c>
      <c r="D15" s="6" t="inlineStr">
        <is>
          <t>P1 Score%</t>
        </is>
      </c>
      <c r="E15" s="6" t="inlineStr">
        <is>
          <t>T1 Score%</t>
        </is>
      </c>
      <c r="F15" s="6" t="inlineStr">
        <is>
          <t>T2 Score%</t>
        </is>
      </c>
      <c r="G15" s="6" t="inlineStr">
        <is>
          <t>L8 Score%</t>
        </is>
      </c>
      <c r="H15" s="6" t="inlineStr">
        <is>
          <t>L9 Score%</t>
        </is>
      </c>
    </row>
    <row r="16">
      <c r="A16" s="8" t="inlineStr">
        <is>
          <t>1. OEE</t>
        </is>
      </c>
      <c r="B16" s="17">
        <f>Monthly_Input!$B$19</f>
        <v/>
      </c>
      <c r="C16" s="12">
        <f>Monthly_Input!$B$28</f>
        <v/>
      </c>
      <c r="D16" s="18">
        <f>IF($B16=0,0,MIN(100,C6/$B16*100))</f>
        <v/>
      </c>
      <c r="E16" s="18">
        <f>IF($B16=0,0,MIN(100,D6/$B16*100))</f>
        <v/>
      </c>
      <c r="F16" s="18">
        <f>IF($B16=0,0,MIN(100,E6/$B16*100))</f>
        <v/>
      </c>
      <c r="G16" s="18">
        <f>IF($B16=0,0,MIN(100,F6/$B16*100))</f>
        <v/>
      </c>
      <c r="H16" s="18">
        <f>IF($B16=0,0,MIN(100,G6/$B16*100))</f>
        <v/>
      </c>
    </row>
    <row r="17">
      <c r="A17" s="8" t="inlineStr">
        <is>
          <t>2. Breakdown Frequency</t>
        </is>
      </c>
      <c r="B17" s="17">
        <f>Monthly_Input!$B$20</f>
        <v/>
      </c>
      <c r="C17" s="12">
        <f>Monthly_Input!$B$29</f>
        <v/>
      </c>
      <c r="D17" s="18">
        <f>IF(C7=0,100,MIN(100,$B17/C7*100))</f>
        <v/>
      </c>
      <c r="E17" s="18">
        <f>IF(D7=0,100,MIN(100,$B17/D7*100))</f>
        <v/>
      </c>
      <c r="F17" s="18">
        <f>IF(E7=0,100,MIN(100,$B17/E7*100))</f>
        <v/>
      </c>
      <c r="G17" s="18">
        <f>IF(F7=0,100,MIN(100,$B17/F7*100))</f>
        <v/>
      </c>
      <c r="H17" s="18">
        <f>IF(G7=0,100,MIN(100,$B17/G7*100))</f>
        <v/>
      </c>
    </row>
    <row r="18">
      <c r="A18" s="8" t="inlineStr">
        <is>
          <t>3. Breakdown Hours</t>
        </is>
      </c>
      <c r="B18" s="17">
        <f>Monthly_Input!$B$21</f>
        <v/>
      </c>
      <c r="C18" s="12">
        <f>Monthly_Input!$B$30</f>
        <v/>
      </c>
      <c r="D18" s="18">
        <f>IF(C8=0,100,MIN(100,$B18/C8*100))</f>
        <v/>
      </c>
      <c r="E18" s="18">
        <f>IF(D8=0,100,MIN(100,$B18/D8*100))</f>
        <v/>
      </c>
      <c r="F18" s="18">
        <f>IF(E8=0,100,MIN(100,$B18/E8*100))</f>
        <v/>
      </c>
      <c r="G18" s="18">
        <f>IF(F8=0,100,MIN(100,$B18/F8*100))</f>
        <v/>
      </c>
      <c r="H18" s="18">
        <f>IF(G8=0,100,MIN(100,$B18/G8*100))</f>
        <v/>
      </c>
    </row>
    <row r="19">
      <c r="A19" s="8" t="inlineStr">
        <is>
          <t>4. PM Compliance</t>
        </is>
      </c>
      <c r="B19" s="17">
        <f>Monthly_Input!$B$22</f>
        <v/>
      </c>
      <c r="C19" s="12">
        <f>Monthly_Input!$B$31</f>
        <v/>
      </c>
      <c r="D19" s="18">
        <f>IF($B19=0,0,MIN(100,C9/$B19*100))</f>
        <v/>
      </c>
      <c r="E19" s="18">
        <f>IF($B19=0,0,MIN(100,D9/$B19*100))</f>
        <v/>
      </c>
      <c r="F19" s="18">
        <f>IF($B19=0,0,MIN(100,E9/$B19*100))</f>
        <v/>
      </c>
      <c r="G19" s="18">
        <f>IF($B19=0,0,MIN(100,F9/$B19*100))</f>
        <v/>
      </c>
      <c r="H19" s="18">
        <f>IF($B19=0,0,MIN(100,G9/$B19*100))</f>
        <v/>
      </c>
    </row>
    <row r="20">
      <c r="A20" s="8" t="inlineStr">
        <is>
          <t>5. MTTR</t>
        </is>
      </c>
      <c r="B20" s="17">
        <f>Monthly_Input!$B$23</f>
        <v/>
      </c>
      <c r="C20" s="12">
        <f>Monthly_Input!$B$32</f>
        <v/>
      </c>
      <c r="D20" s="18">
        <f>IF(C10=0,100,MIN(100,$B20/C10*100))</f>
        <v/>
      </c>
      <c r="E20" s="18">
        <f>IF(D10=0,100,MIN(100,$B20/D10*100))</f>
        <v/>
      </c>
      <c r="F20" s="18">
        <f>IF(E10=0,100,MIN(100,$B20/E10*100))</f>
        <v/>
      </c>
      <c r="G20" s="18">
        <f>IF(F10=0,100,MIN(100,$B20/F10*100))</f>
        <v/>
      </c>
      <c r="H20" s="18">
        <f>IF(G10=0,100,MIN(100,$B20/G10*100))</f>
        <v/>
      </c>
    </row>
    <row r="21">
      <c r="A21" s="8" t="inlineStr">
        <is>
          <t>6. MTBF</t>
        </is>
      </c>
      <c r="B21" s="17">
        <f>Monthly_Input!$B$24</f>
        <v/>
      </c>
      <c r="C21" s="12">
        <f>Monthly_Input!$B$33</f>
        <v/>
      </c>
      <c r="D21" s="18">
        <f>IF($B21=0,0,MIN(100,C11/$B21*100))</f>
        <v/>
      </c>
      <c r="E21" s="18">
        <f>IF($B21=0,0,MIN(100,D11/$B21*100))</f>
        <v/>
      </c>
      <c r="F21" s="18">
        <f>IF($B21=0,0,MIN(100,E11/$B21*100))</f>
        <v/>
      </c>
      <c r="G21" s="18">
        <f>IF($B21=0,0,MIN(100,F11/$B21*100))</f>
        <v/>
      </c>
      <c r="H21" s="18">
        <f>IF($B21=0,0,MIN(100,G11/$B21*100))</f>
        <v/>
      </c>
    </row>
    <row r="22">
      <c r="A22" s="8" t="inlineStr">
        <is>
          <t>7. Safety</t>
        </is>
      </c>
      <c r="B22" s="17">
        <f>Monthly_Input!$B$25</f>
        <v/>
      </c>
      <c r="C22" s="12">
        <f>Monthly_Input!$B$34</f>
        <v/>
      </c>
      <c r="D22" s="18">
        <f>IF(C12=0,100,0)</f>
        <v/>
      </c>
      <c r="E22" s="18">
        <f>IF(D12=0,100,0)</f>
        <v/>
      </c>
      <c r="F22" s="18">
        <f>IF(E12=0,100,0)</f>
        <v/>
      </c>
      <c r="G22" s="18">
        <f>IF(F12=0,100,0)</f>
        <v/>
      </c>
      <c r="H22" s="18">
        <f>IF(G12=0,100,0)</f>
        <v/>
      </c>
    </row>
    <row r="24">
      <c r="A24" s="10" t="inlineStr">
        <is>
          <t>C) WEIGHTED POINTS (Score % × Weight)</t>
        </is>
      </c>
    </row>
    <row r="25">
      <c r="A25" s="6" t="inlineStr">
        <is>
          <t>KPI</t>
        </is>
      </c>
      <c r="B25" s="6" t="inlineStr">
        <is>
          <t>P1 Weighted</t>
        </is>
      </c>
      <c r="C25" s="6" t="inlineStr">
        <is>
          <t>T1 Weighted</t>
        </is>
      </c>
      <c r="D25" s="6" t="inlineStr">
        <is>
          <t>T2 Weighted</t>
        </is>
      </c>
      <c r="E25" s="6" t="inlineStr">
        <is>
          <t>L8 Weighted</t>
        </is>
      </c>
      <c r="F25" s="6" t="inlineStr">
        <is>
          <t>L9 Weighted</t>
        </is>
      </c>
    </row>
    <row r="26">
      <c r="A26" s="8" t="inlineStr">
        <is>
          <t>1. OEE</t>
        </is>
      </c>
      <c r="B26" s="14">
        <f>D16*$C16</f>
        <v/>
      </c>
      <c r="C26" s="14">
        <f>E16*$C16</f>
        <v/>
      </c>
      <c r="D26" s="14">
        <f>F16*$C16</f>
        <v/>
      </c>
      <c r="E26" s="14">
        <f>G16*$C16</f>
        <v/>
      </c>
      <c r="F26" s="14">
        <f>H16*$C16</f>
        <v/>
      </c>
    </row>
    <row r="27">
      <c r="A27" s="8" t="inlineStr">
        <is>
          <t>2. Breakdown Frequency</t>
        </is>
      </c>
      <c r="B27" s="14">
        <f>D17*$C17</f>
        <v/>
      </c>
      <c r="C27" s="14">
        <f>E17*$C17</f>
        <v/>
      </c>
      <c r="D27" s="14">
        <f>F17*$C17</f>
        <v/>
      </c>
      <c r="E27" s="14">
        <f>G17*$C17</f>
        <v/>
      </c>
      <c r="F27" s="14">
        <f>H17*$C17</f>
        <v/>
      </c>
    </row>
    <row r="28">
      <c r="A28" s="8" t="inlineStr">
        <is>
          <t>3. Breakdown Hours</t>
        </is>
      </c>
      <c r="B28" s="14">
        <f>D18*$C18</f>
        <v/>
      </c>
      <c r="C28" s="14">
        <f>E18*$C18</f>
        <v/>
      </c>
      <c r="D28" s="14">
        <f>F18*$C18</f>
        <v/>
      </c>
      <c r="E28" s="14">
        <f>G18*$C18</f>
        <v/>
      </c>
      <c r="F28" s="14">
        <f>H18*$C18</f>
        <v/>
      </c>
    </row>
    <row r="29">
      <c r="A29" s="8" t="inlineStr">
        <is>
          <t>4. PM Compliance</t>
        </is>
      </c>
      <c r="B29" s="14">
        <f>D19*$C19</f>
        <v/>
      </c>
      <c r="C29" s="14">
        <f>E19*$C19</f>
        <v/>
      </c>
      <c r="D29" s="14">
        <f>F19*$C19</f>
        <v/>
      </c>
      <c r="E29" s="14">
        <f>G19*$C19</f>
        <v/>
      </c>
      <c r="F29" s="14">
        <f>H19*$C19</f>
        <v/>
      </c>
    </row>
    <row r="30">
      <c r="A30" s="8" t="inlineStr">
        <is>
          <t>5. MTTR</t>
        </is>
      </c>
      <c r="B30" s="14">
        <f>D20*$C20</f>
        <v/>
      </c>
      <c r="C30" s="14">
        <f>E20*$C20</f>
        <v/>
      </c>
      <c r="D30" s="14">
        <f>F20*$C20</f>
        <v/>
      </c>
      <c r="E30" s="14">
        <f>G20*$C20</f>
        <v/>
      </c>
      <c r="F30" s="14">
        <f>H20*$C20</f>
        <v/>
      </c>
    </row>
    <row r="31">
      <c r="A31" s="8" t="inlineStr">
        <is>
          <t>6. MTBF</t>
        </is>
      </c>
      <c r="B31" s="14">
        <f>D21*$C21</f>
        <v/>
      </c>
      <c r="C31" s="14">
        <f>E21*$C21</f>
        <v/>
      </c>
      <c r="D31" s="14">
        <f>F21*$C21</f>
        <v/>
      </c>
      <c r="E31" s="14">
        <f>G21*$C21</f>
        <v/>
      </c>
      <c r="F31" s="14">
        <f>H21*$C21</f>
        <v/>
      </c>
    </row>
    <row r="32">
      <c r="A32" s="8" t="inlineStr">
        <is>
          <t>7. Safety</t>
        </is>
      </c>
      <c r="B32" s="14">
        <f>D22*$C22</f>
        <v/>
      </c>
      <c r="C32" s="14">
        <f>E22*$C22</f>
        <v/>
      </c>
      <c r="D32" s="14">
        <f>F22*$C22</f>
        <v/>
      </c>
      <c r="E32" s="14">
        <f>G22*$C22</f>
        <v/>
      </c>
      <c r="F32" s="14">
        <f>H22*$C22</f>
        <v/>
      </c>
    </row>
    <row r="33">
      <c r="A33" s="19" t="inlineStr">
        <is>
          <t>TOTAL KPI SCORE %</t>
        </is>
      </c>
      <c r="B33" s="20">
        <f>MIN(100,SUM(B26:B32))</f>
        <v/>
      </c>
      <c r="C33" s="20">
        <f>MIN(100,SUM(C26:C32))</f>
        <v/>
      </c>
      <c r="D33" s="20">
        <f>MIN(100,SUM(D26:D32))</f>
        <v/>
      </c>
      <c r="E33" s="20">
        <f>MIN(100,SUM(E26:E32))</f>
        <v/>
      </c>
      <c r="F33" s="20">
        <f>MIN(100,SUM(F26:F32))</f>
        <v/>
      </c>
    </row>
    <row r="35">
      <c r="A35" s="21" t="inlineStr">
        <is>
          <t>PLANT TOTAL (average of 5 lines) %</t>
        </is>
      </c>
      <c r="B35" s="22">
        <f>AVERAGE(B33:F33)</f>
        <v/>
      </c>
    </row>
    <row r="37">
      <c r="A37" s="10" t="inlineStr">
        <is>
          <t>D) BONUS EXAMPLE (Maintenance Engineer Day opportunity £324)</t>
        </is>
      </c>
    </row>
    <row r="38">
      <c r="A38" t="inlineStr">
        <is>
          <t>Bonus payout £</t>
        </is>
      </c>
      <c r="B38" s="23">
        <f>324*B35/100</f>
        <v/>
      </c>
    </row>
    <row r="40">
      <c r="A40" s="24" t="inlineStr">
        <is>
          <t>Safety note: if any line LTI &gt; 0, company rule cuts overall bonus to 50%. Major safety/EPW = 0%.</t>
        </is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2" customWidth="1" min="3" max="3"/>
    <col width="14" customWidth="1" min="4" max="4"/>
    <col width="70" customWidth="1" min="5" max="5"/>
  </cols>
  <sheetData>
    <row r="1">
      <c r="A1" s="1" t="inlineStr">
        <is>
          <t>Plain English — how each value is calculated</t>
        </is>
      </c>
    </row>
    <row r="3" ht="20" customHeight="1">
      <c r="A3" s="25" t="inlineStr">
        <is>
          <t>KPI</t>
        </is>
      </c>
      <c r="B3" s="25" t="inlineStr">
        <is>
          <t>Actual formula</t>
        </is>
      </c>
      <c r="C3" s="25" t="inlineStr">
        <is>
          <t>Score formula</t>
        </is>
      </c>
      <c r="D3" s="25" t="inlineStr">
        <is>
          <t>Weighted</t>
        </is>
      </c>
      <c r="E3" s="25" t="inlineStr">
        <is>
          <t>Worked example</t>
        </is>
      </c>
    </row>
    <row r="4" ht="55" customHeight="1">
      <c r="A4" s="26" t="inlineStr">
        <is>
          <t>OEE</t>
        </is>
      </c>
      <c r="B4" s="26" t="inlineStr">
        <is>
          <t>Availability × Performance × Quality × 100</t>
        </is>
      </c>
      <c r="C4" s="26" t="inlineStr">
        <is>
          <t>MIN(100, Actual/82×100)</t>
        </is>
      </c>
      <c r="D4" s="26" t="inlineStr">
        <is>
          <t>Score × 20%</t>
        </is>
      </c>
      <c r="E4" s="26" t="inlineStr">
        <is>
          <t>Avail=420/480=0.875; Perf=(480000/420)/1200=0.952; Qual=465600/480000=0.97 → OEE≈80.8%; Score=80.8/82×100≈98.5%; Weighted≈19.7</t>
        </is>
      </c>
    </row>
    <row r="5" ht="55" customHeight="1">
      <c r="A5" s="26" t="inlineStr">
        <is>
          <t>Breakdown Frequency</t>
        </is>
      </c>
      <c r="B5" s="26" t="inlineStr">
        <is>
          <t>Count of breakdowns this month</t>
        </is>
      </c>
      <c r="C5" s="26" t="inlineStr">
        <is>
          <t>IF(Actual=0,100, MIN(100, 15/Actual×100))</t>
        </is>
      </c>
      <c r="D5" s="26" t="inlineStr">
        <is>
          <t>Score × 10%</t>
        </is>
      </c>
      <c r="E5" s="26" t="inlineStr">
        <is>
          <t>Actual=12 → Score=15/12×100=125% → cap 100% → Weighted=10.0</t>
        </is>
      </c>
    </row>
    <row r="6" ht="55" customHeight="1">
      <c r="A6" s="26" t="inlineStr">
        <is>
          <t>Breakdown Hours</t>
        </is>
      </c>
      <c r="B6" s="26" t="inlineStr">
        <is>
          <t>Total downtime hours from breakdowns</t>
        </is>
      </c>
      <c r="C6" s="26" t="inlineStr">
        <is>
          <t>IF(Actual=0,100, MIN(100, 20/Actual×100))</t>
        </is>
      </c>
      <c r="D6" s="26" t="inlineStr">
        <is>
          <t>Score × 15%</t>
        </is>
      </c>
      <c r="E6" s="26" t="inlineStr">
        <is>
          <t>Actual=18.5 → Score=20/18.5×100=108.1% → cap 100% → Weighted=15.0</t>
        </is>
      </c>
    </row>
    <row r="7" ht="55" customHeight="1">
      <c r="A7" s="26" t="inlineStr">
        <is>
          <t>PM Compliance</t>
        </is>
      </c>
      <c r="B7" s="26" t="inlineStr">
        <is>
          <t>Completed on time ÷ Planned × 100</t>
        </is>
      </c>
      <c r="C7" s="26" t="inlineStr">
        <is>
          <t>MIN(100, Actual/98×100)</t>
        </is>
      </c>
      <c r="D7" s="26" t="inlineStr">
        <is>
          <t>Score × 20%</t>
        </is>
      </c>
      <c r="E7" s="26" t="inlineStr">
        <is>
          <t>24/25×100=96%; Score=96/98×100=98.0%; Weighted=19.6</t>
        </is>
      </c>
    </row>
    <row r="8" ht="55" customHeight="1">
      <c r="A8" s="26" t="inlineStr">
        <is>
          <t>MTTR</t>
        </is>
      </c>
      <c r="B8" s="26" t="inlineStr">
        <is>
          <t>Breakdown hours ÷ Breakdown count</t>
        </is>
      </c>
      <c r="C8" s="26" t="inlineStr">
        <is>
          <t>IF(Actual=0,100, MIN(100, 2.5/Actual×100))</t>
        </is>
      </c>
      <c r="D8" s="26" t="inlineStr">
        <is>
          <t>Score × 15%</t>
        </is>
      </c>
      <c r="E8" s="26" t="inlineStr">
        <is>
          <t>18.5/12=1.542 hrs; Score=2.5/1.542×100≈162% → cap 100%; Weighted=15.0</t>
        </is>
      </c>
    </row>
    <row r="9" ht="55" customHeight="1">
      <c r="A9" s="26" t="inlineStr">
        <is>
          <t>MTBF</t>
        </is>
      </c>
      <c r="B9" s="26" t="inlineStr">
        <is>
          <t>Operational hours ÷ Breakdown count</t>
        </is>
      </c>
      <c r="C9" s="26" t="inlineStr">
        <is>
          <t>MIN(100, Actual/150×100)</t>
        </is>
      </c>
      <c r="D9" s="26" t="inlineStr">
        <is>
          <t>Score × 10%</t>
        </is>
      </c>
      <c r="E9" s="26" t="inlineStr">
        <is>
          <t>420/12=35 hrs; Score=35/150×100=23.3%; Weighted=2.33</t>
        </is>
      </c>
    </row>
    <row r="10" ht="55" customHeight="1">
      <c r="A10" s="26" t="inlineStr">
        <is>
          <t>Safety</t>
        </is>
      </c>
      <c r="B10" s="26" t="inlineStr">
        <is>
          <t>LTI count</t>
        </is>
      </c>
      <c r="C10" s="26" t="inlineStr">
        <is>
          <t>IF(LTI=0,100,0)</t>
        </is>
      </c>
      <c r="D10" s="26" t="inlineStr">
        <is>
          <t>Score × 10%</t>
        </is>
      </c>
      <c r="E10" s="26" t="inlineStr">
        <is>
          <t>LTI=0 → Score=100%; Weighted=10.0</t>
        </is>
      </c>
    </row>
    <row r="11" ht="55" customHeight="1">
      <c r="A11" s="26" t="inlineStr">
        <is>
          <t>TOTAL</t>
        </is>
      </c>
      <c r="B11" s="26" t="inlineStr">
        <is>
          <t>Sum of all Weighted points</t>
        </is>
      </c>
      <c r="C11" s="26" t="inlineStr">
        <is>
          <t>MIN(100, sum)</t>
        </is>
      </c>
      <c r="D11" s="26" t="inlineStr">
        <is>
          <t>—</t>
        </is>
      </c>
      <c r="E11" s="26" t="inlineStr">
        <is>
          <t>Add the 7 weighted numbers for that line. Plant total = average of P1,T1,T2,L8,L9</t>
        </is>
      </c>
    </row>
    <row r="13">
      <c r="A13" s="27" t="inlineStr">
        <is>
          <t>Remember: Higher-better uses Actual/Target. Lower-better uses Target/Actual. Never above 100%.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WORKED EXAMPLE — P1 Pancake only (so you can check by hand)</t>
        </is>
      </c>
    </row>
    <row r="3">
      <c r="A3" s="10" t="inlineStr">
        <is>
          <t>Input used</t>
        </is>
      </c>
    </row>
    <row r="4">
      <c r="A4" s="8" t="inlineStr">
        <is>
          <t>Planned production time</t>
        </is>
      </c>
      <c r="B4" s="28" t="n">
        <v>480</v>
      </c>
    </row>
    <row r="5">
      <c r="A5" s="8" t="inlineStr">
        <is>
          <t>Actual operating time</t>
        </is>
      </c>
      <c r="B5" s="28" t="n">
        <v>420</v>
      </c>
    </row>
    <row r="6">
      <c r="A6" s="8" t="inlineStr">
        <is>
          <t>Ideal production rate</t>
        </is>
      </c>
      <c r="B6" s="28" t="n">
        <v>1200</v>
      </c>
    </row>
    <row r="7">
      <c r="A7" s="8" t="inlineStr">
        <is>
          <t>Total units produced</t>
        </is>
      </c>
      <c r="B7" s="28" t="n">
        <v>480000</v>
      </c>
    </row>
    <row r="8">
      <c r="A8" s="8" t="inlineStr">
        <is>
          <t>Good units produced</t>
        </is>
      </c>
      <c r="B8" s="28" t="n">
        <v>465600</v>
      </c>
    </row>
    <row r="9">
      <c r="A9" s="8" t="inlineStr">
        <is>
          <t>Breakdown count</t>
        </is>
      </c>
      <c r="B9" s="28" t="n">
        <v>12</v>
      </c>
    </row>
    <row r="10">
      <c r="A10" s="8" t="inlineStr">
        <is>
          <t>Breakdown hours</t>
        </is>
      </c>
      <c r="B10" s="28" t="n">
        <v>18.5</v>
      </c>
    </row>
    <row r="11">
      <c r="A11" s="8" t="inlineStr">
        <is>
          <t>Planned PM jobs</t>
        </is>
      </c>
      <c r="B11" s="28" t="n">
        <v>25</v>
      </c>
    </row>
    <row r="12">
      <c r="A12" s="8" t="inlineStr">
        <is>
          <t>Completed PM on time</t>
        </is>
      </c>
      <c r="B12" s="28" t="n">
        <v>24</v>
      </c>
    </row>
    <row r="13">
      <c r="A13" s="8" t="inlineStr">
        <is>
          <t>Operational hours</t>
        </is>
      </c>
      <c r="B13" s="28" t="n">
        <v>420</v>
      </c>
    </row>
    <row r="14">
      <c r="A14" s="8" t="inlineStr">
        <is>
          <t>LTI</t>
        </is>
      </c>
      <c r="B14" s="28" t="n">
        <v>0</v>
      </c>
    </row>
    <row r="16">
      <c r="A16" s="10" t="inlineStr">
        <is>
          <t>Calculations</t>
        </is>
      </c>
    </row>
    <row r="17">
      <c r="A17" s="6" t="inlineStr">
        <is>
          <t>KPI</t>
        </is>
      </c>
      <c r="B17" s="6" t="inlineStr">
        <is>
          <t>Actual</t>
        </is>
      </c>
      <c r="C17" s="6" t="inlineStr">
        <is>
          <t>Target</t>
        </is>
      </c>
      <c r="D17" s="6" t="inlineStr">
        <is>
          <t>Score %</t>
        </is>
      </c>
      <c r="E17" s="6" t="inlineStr">
        <is>
          <t>Weighted</t>
        </is>
      </c>
    </row>
    <row r="18">
      <c r="A18" s="8" t="inlineStr">
        <is>
          <t>1. OEE</t>
        </is>
      </c>
      <c r="B18" s="14" t="n">
        <v>80.83</v>
      </c>
      <c r="C18" s="14" t="n">
        <v>82</v>
      </c>
      <c r="D18" s="14" t="n">
        <v>98.58</v>
      </c>
      <c r="E18" s="14" t="n">
        <v>19.72</v>
      </c>
    </row>
    <row r="19">
      <c r="A19" s="8" t="inlineStr">
        <is>
          <t>2. Breakdown Frequency</t>
        </is>
      </c>
      <c r="B19" s="14" t="n">
        <v>12</v>
      </c>
      <c r="C19" s="14" t="n">
        <v>15</v>
      </c>
      <c r="D19" s="14" t="n">
        <v>100</v>
      </c>
      <c r="E19" s="14" t="n">
        <v>10</v>
      </c>
    </row>
    <row r="20">
      <c r="A20" s="8" t="inlineStr">
        <is>
          <t>3. Breakdown Hours</t>
        </is>
      </c>
      <c r="B20" s="14" t="n">
        <v>18.5</v>
      </c>
      <c r="C20" s="14" t="n">
        <v>20</v>
      </c>
      <c r="D20" s="14" t="n">
        <v>100</v>
      </c>
      <c r="E20" s="14" t="n">
        <v>15</v>
      </c>
    </row>
    <row r="21">
      <c r="A21" s="8" t="inlineStr">
        <is>
          <t>4. PM Compliance</t>
        </is>
      </c>
      <c r="B21" s="14" t="n">
        <v>96</v>
      </c>
      <c r="C21" s="14" t="n">
        <v>98</v>
      </c>
      <c r="D21" s="14" t="n">
        <v>97.95999999999999</v>
      </c>
      <c r="E21" s="14" t="n">
        <v>19.59</v>
      </c>
    </row>
    <row r="22">
      <c r="A22" s="8" t="inlineStr">
        <is>
          <t>5. MTTR</t>
        </is>
      </c>
      <c r="B22" s="14" t="n">
        <v>1.542</v>
      </c>
      <c r="C22" s="14" t="n">
        <v>2.5</v>
      </c>
      <c r="D22" s="14" t="n">
        <v>100</v>
      </c>
      <c r="E22" s="14" t="n">
        <v>15</v>
      </c>
    </row>
    <row r="23">
      <c r="A23" s="8" t="inlineStr">
        <is>
          <t>6. MTBF</t>
        </is>
      </c>
      <c r="B23" s="14" t="n">
        <v>35</v>
      </c>
      <c r="C23" s="14" t="n">
        <v>150</v>
      </c>
      <c r="D23" s="14" t="n">
        <v>23.33</v>
      </c>
      <c r="E23" s="14" t="n">
        <v>2.33</v>
      </c>
    </row>
    <row r="24">
      <c r="A24" s="8" t="inlineStr">
        <is>
          <t>7. Safety</t>
        </is>
      </c>
      <c r="B24" s="14" t="n">
        <v>0</v>
      </c>
      <c r="C24" s="14" t="n">
        <v>0</v>
      </c>
      <c r="D24" s="14" t="n">
        <v>100</v>
      </c>
      <c r="E24" s="14" t="n">
        <v>10</v>
      </c>
    </row>
    <row r="25">
      <c r="A25" s="19" t="inlineStr">
        <is>
          <t>TOTAL KPI SCORE %</t>
        </is>
      </c>
      <c r="B25" s="19" t="inlineStr"/>
      <c r="C25" s="19" t="inlineStr"/>
      <c r="D25" s="19" t="inlineStr"/>
      <c r="E25" s="19" t="n">
        <v>91.64</v>
      </c>
    </row>
    <row r="27">
      <c r="A27" s="10" t="inlineStr">
        <is>
          <t>OEE detail</t>
        </is>
      </c>
    </row>
    <row r="28">
      <c r="A28" t="inlineStr">
        <is>
          <t>Availability = 420/480 = 0.8750</t>
        </is>
      </c>
    </row>
    <row r="29">
      <c r="A29" t="inlineStr">
        <is>
          <t>Performance = (480000/420)/1200 = 0.9524</t>
        </is>
      </c>
    </row>
    <row r="30">
      <c r="A30" t="inlineStr">
        <is>
          <t>Quality = 465600/480000 = 0.9700</t>
        </is>
      </c>
    </row>
    <row r="31">
      <c r="A31" t="inlineStr">
        <is>
          <t>OEE = 0.8750 × 0.9524 × 0.9700 × 100 = 80.83%</t>
        </is>
      </c>
    </row>
    <row r="33">
      <c r="A33" s="21" t="inlineStr">
        <is>
          <t>P1 TOTAL = 91.64%</t>
        </is>
      </c>
    </row>
    <row r="34">
      <c r="A34" t="inlineStr">
        <is>
          <t>This matches sheet KPI_Calculations column P1 (with same inputs).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READY ANSWERS for the sample month (so you can see the numbers now)</t>
        </is>
      </c>
    </row>
    <row r="2">
      <c r="A2" s="29" t="inlineStr">
        <is>
          <t>These use the yellow sample inputs on Monthly_Input. When you change inputs, use KPI_Calculations sheet for live formulas.</t>
        </is>
      </c>
    </row>
    <row r="4">
      <c r="A4" s="10" t="inlineStr">
        <is>
          <t>ACTUAL values</t>
        </is>
      </c>
    </row>
    <row r="5">
      <c r="A5" s="6" t="inlineStr">
        <is>
          <t>KPI</t>
        </is>
      </c>
      <c r="B5" s="6" t="inlineStr">
        <is>
          <t>P1</t>
        </is>
      </c>
      <c r="C5" s="6" t="inlineStr">
        <is>
          <t>T1</t>
        </is>
      </c>
      <c r="D5" s="6" t="inlineStr">
        <is>
          <t>T2</t>
        </is>
      </c>
      <c r="E5" s="6" t="inlineStr">
        <is>
          <t>L8</t>
        </is>
      </c>
      <c r="F5" s="6" t="inlineStr">
        <is>
          <t>L9</t>
        </is>
      </c>
    </row>
    <row r="6">
      <c r="A6" s="8" t="inlineStr">
        <is>
          <t>OEE %</t>
        </is>
      </c>
      <c r="B6" s="14" t="n">
        <v>80.833</v>
      </c>
      <c r="C6" s="14" t="n">
        <v>77.583</v>
      </c>
      <c r="D6" s="14" t="n">
        <v>80.646</v>
      </c>
      <c r="E6" s="14" t="n">
        <v>85.069</v>
      </c>
      <c r="F6" s="14" t="n">
        <v>76.343</v>
      </c>
    </row>
    <row r="7">
      <c r="A7" s="8" t="inlineStr">
        <is>
          <t>Breakdown Frequency</t>
        </is>
      </c>
      <c r="B7" s="14" t="n">
        <v>12</v>
      </c>
      <c r="C7" s="14" t="n">
        <v>14</v>
      </c>
      <c r="D7" s="14" t="n">
        <v>11</v>
      </c>
      <c r="E7" s="14" t="n">
        <v>9</v>
      </c>
      <c r="F7" s="14" t="n">
        <v>16</v>
      </c>
    </row>
    <row r="8">
      <c r="A8" s="8" t="inlineStr">
        <is>
          <t>Breakdown Hours</t>
        </is>
      </c>
      <c r="B8" s="14" t="n">
        <v>18.5</v>
      </c>
      <c r="C8" s="14" t="n">
        <v>19</v>
      </c>
      <c r="D8" s="14" t="n">
        <v>16</v>
      </c>
      <c r="E8" s="14" t="n">
        <v>14</v>
      </c>
      <c r="F8" s="14" t="n">
        <v>22</v>
      </c>
    </row>
    <row r="9">
      <c r="A9" s="8" t="inlineStr">
        <is>
          <t>PM Compliance %</t>
        </is>
      </c>
      <c r="B9" s="14" t="n">
        <v>96</v>
      </c>
      <c r="C9" s="14" t="n">
        <v>96.667</v>
      </c>
      <c r="D9" s="14" t="n">
        <v>96.429</v>
      </c>
      <c r="E9" s="14" t="n">
        <v>100</v>
      </c>
      <c r="F9" s="14" t="n">
        <v>90</v>
      </c>
    </row>
    <row r="10">
      <c r="A10" s="8" t="inlineStr">
        <is>
          <t>MTTR hours</t>
        </is>
      </c>
      <c r="B10" s="14" t="n">
        <v>1.542</v>
      </c>
      <c r="C10" s="14" t="n">
        <v>1.357</v>
      </c>
      <c r="D10" s="14" t="n">
        <v>1.455</v>
      </c>
      <c r="E10" s="14" t="n">
        <v>1.556</v>
      </c>
      <c r="F10" s="14" t="n">
        <v>1.375</v>
      </c>
    </row>
    <row r="11">
      <c r="A11" s="8" t="inlineStr">
        <is>
          <t>MTBF hours</t>
        </is>
      </c>
      <c r="B11" s="14" t="n">
        <v>35</v>
      </c>
      <c r="C11" s="14" t="n">
        <v>28.571</v>
      </c>
      <c r="D11" s="14" t="n">
        <v>37.273</v>
      </c>
      <c r="E11" s="14" t="n">
        <v>48.333</v>
      </c>
      <c r="F11" s="14" t="n">
        <v>24.375</v>
      </c>
    </row>
    <row r="12">
      <c r="A12" s="8" t="inlineStr">
        <is>
          <t>Safety LTI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</row>
    <row r="14">
      <c r="A14" s="10" t="inlineStr">
        <is>
          <t>SCORE %</t>
        </is>
      </c>
    </row>
    <row r="15">
      <c r="A15" s="6" t="inlineStr">
        <is>
          <t>KPI</t>
        </is>
      </c>
      <c r="B15" s="6" t="inlineStr">
        <is>
          <t>P1</t>
        </is>
      </c>
      <c r="C15" s="6" t="inlineStr">
        <is>
          <t>T1</t>
        </is>
      </c>
      <c r="D15" s="6" t="inlineStr">
        <is>
          <t>T2</t>
        </is>
      </c>
      <c r="E15" s="6" t="inlineStr">
        <is>
          <t>L8</t>
        </is>
      </c>
      <c r="F15" s="6" t="inlineStr">
        <is>
          <t>L9</t>
        </is>
      </c>
    </row>
    <row r="16">
      <c r="A16" s="8" t="inlineStr">
        <is>
          <t>OEE %</t>
        </is>
      </c>
      <c r="B16" s="14" t="n">
        <v>98.58</v>
      </c>
      <c r="C16" s="14" t="n">
        <v>94.61</v>
      </c>
      <c r="D16" s="14" t="n">
        <v>98.34999999999999</v>
      </c>
      <c r="E16" s="14" t="n">
        <v>100</v>
      </c>
      <c r="F16" s="14" t="n">
        <v>93.09999999999999</v>
      </c>
    </row>
    <row r="17">
      <c r="A17" s="8" t="inlineStr">
        <is>
          <t>Breakdown Frequency</t>
        </is>
      </c>
      <c r="B17" s="14" t="n">
        <v>100</v>
      </c>
      <c r="C17" s="14" t="n">
        <v>100</v>
      </c>
      <c r="D17" s="14" t="n">
        <v>100</v>
      </c>
      <c r="E17" s="14" t="n">
        <v>100</v>
      </c>
      <c r="F17" s="14" t="n">
        <v>93.75</v>
      </c>
    </row>
    <row r="18">
      <c r="A18" s="8" t="inlineStr">
        <is>
          <t>Breakdown Hours</t>
        </is>
      </c>
      <c r="B18" s="14" t="n">
        <v>100</v>
      </c>
      <c r="C18" s="14" t="n">
        <v>100</v>
      </c>
      <c r="D18" s="14" t="n">
        <v>100</v>
      </c>
      <c r="E18" s="14" t="n">
        <v>100</v>
      </c>
      <c r="F18" s="14" t="n">
        <v>90.91</v>
      </c>
    </row>
    <row r="19">
      <c r="A19" s="8" t="inlineStr">
        <is>
          <t>PM Compliance %</t>
        </is>
      </c>
      <c r="B19" s="14" t="n">
        <v>97.95999999999999</v>
      </c>
      <c r="C19" s="14" t="n">
        <v>98.64</v>
      </c>
      <c r="D19" s="14" t="n">
        <v>98.40000000000001</v>
      </c>
      <c r="E19" s="14" t="n">
        <v>100</v>
      </c>
      <c r="F19" s="14" t="n">
        <v>91.84</v>
      </c>
    </row>
    <row r="20">
      <c r="A20" s="8" t="inlineStr">
        <is>
          <t>MTTR hours</t>
        </is>
      </c>
      <c r="B20" s="14" t="n">
        <v>100</v>
      </c>
      <c r="C20" s="14" t="n">
        <v>100</v>
      </c>
      <c r="D20" s="14" t="n">
        <v>100</v>
      </c>
      <c r="E20" s="14" t="n">
        <v>100</v>
      </c>
      <c r="F20" s="14" t="n">
        <v>100</v>
      </c>
    </row>
    <row r="21">
      <c r="A21" s="8" t="inlineStr">
        <is>
          <t>MTBF hours</t>
        </is>
      </c>
      <c r="B21" s="14" t="n">
        <v>23.33</v>
      </c>
      <c r="C21" s="14" t="n">
        <v>19.05</v>
      </c>
      <c r="D21" s="14" t="n">
        <v>24.85</v>
      </c>
      <c r="E21" s="14" t="n">
        <v>32.22</v>
      </c>
      <c r="F21" s="14" t="n">
        <v>16.25</v>
      </c>
    </row>
    <row r="22">
      <c r="A22" s="8" t="inlineStr">
        <is>
          <t>Safety LTI</t>
        </is>
      </c>
      <c r="B22" s="14" t="n">
        <v>100</v>
      </c>
      <c r="C22" s="14" t="n">
        <v>100</v>
      </c>
      <c r="D22" s="14" t="n">
        <v>100</v>
      </c>
      <c r="E22" s="14" t="n">
        <v>100</v>
      </c>
      <c r="F22" s="14" t="n">
        <v>100</v>
      </c>
    </row>
    <row r="24">
      <c r="A24" s="10" t="inlineStr">
        <is>
          <t>WEIGHTED points and TOTAL</t>
        </is>
      </c>
    </row>
    <row r="25">
      <c r="A25" s="6" t="inlineStr">
        <is>
          <t>KPI</t>
        </is>
      </c>
      <c r="B25" s="6" t="inlineStr">
        <is>
          <t>P1</t>
        </is>
      </c>
      <c r="C25" s="6" t="inlineStr">
        <is>
          <t>T1</t>
        </is>
      </c>
      <c r="D25" s="6" t="inlineStr">
        <is>
          <t>T2</t>
        </is>
      </c>
      <c r="E25" s="6" t="inlineStr">
        <is>
          <t>L8</t>
        </is>
      </c>
      <c r="F25" s="6" t="inlineStr">
        <is>
          <t>L9</t>
        </is>
      </c>
    </row>
    <row r="26">
      <c r="A26" s="8" t="inlineStr">
        <is>
          <t>OEE %</t>
        </is>
      </c>
      <c r="B26" s="14" t="n">
        <v>19.72</v>
      </c>
      <c r="C26" s="14" t="n">
        <v>18.92</v>
      </c>
      <c r="D26" s="14" t="n">
        <v>19.67</v>
      </c>
      <c r="E26" s="14" t="n">
        <v>20</v>
      </c>
      <c r="F26" s="14" t="n">
        <v>18.62</v>
      </c>
    </row>
    <row r="27">
      <c r="A27" s="8" t="inlineStr">
        <is>
          <t>Breakdown Frequency</t>
        </is>
      </c>
      <c r="B27" s="14" t="n">
        <v>10</v>
      </c>
      <c r="C27" s="14" t="n">
        <v>10</v>
      </c>
      <c r="D27" s="14" t="n">
        <v>10</v>
      </c>
      <c r="E27" s="14" t="n">
        <v>10</v>
      </c>
      <c r="F27" s="14" t="n">
        <v>9.380000000000001</v>
      </c>
    </row>
    <row r="28">
      <c r="A28" s="8" t="inlineStr">
        <is>
          <t>Breakdown Hours</t>
        </is>
      </c>
      <c r="B28" s="14" t="n">
        <v>15</v>
      </c>
      <c r="C28" s="14" t="n">
        <v>15</v>
      </c>
      <c r="D28" s="14" t="n">
        <v>15</v>
      </c>
      <c r="E28" s="14" t="n">
        <v>15</v>
      </c>
      <c r="F28" s="14" t="n">
        <v>13.64</v>
      </c>
    </row>
    <row r="29">
      <c r="A29" s="8" t="inlineStr">
        <is>
          <t>PM Compliance %</t>
        </is>
      </c>
      <c r="B29" s="14" t="n">
        <v>19.59</v>
      </c>
      <c r="C29" s="14" t="n">
        <v>19.73</v>
      </c>
      <c r="D29" s="14" t="n">
        <v>19.68</v>
      </c>
      <c r="E29" s="14" t="n">
        <v>20</v>
      </c>
      <c r="F29" s="14" t="n">
        <v>18.37</v>
      </c>
    </row>
    <row r="30">
      <c r="A30" s="8" t="inlineStr">
        <is>
          <t>MTTR hours</t>
        </is>
      </c>
      <c r="B30" s="14" t="n">
        <v>15</v>
      </c>
      <c r="C30" s="14" t="n">
        <v>15</v>
      </c>
      <c r="D30" s="14" t="n">
        <v>15</v>
      </c>
      <c r="E30" s="14" t="n">
        <v>15</v>
      </c>
      <c r="F30" s="14" t="n">
        <v>15</v>
      </c>
    </row>
    <row r="31">
      <c r="A31" s="8" t="inlineStr">
        <is>
          <t>MTBF hours</t>
        </is>
      </c>
      <c r="B31" s="14" t="n">
        <v>2.33</v>
      </c>
      <c r="C31" s="14" t="n">
        <v>1.9</v>
      </c>
      <c r="D31" s="14" t="n">
        <v>2.48</v>
      </c>
      <c r="E31" s="14" t="n">
        <v>3.22</v>
      </c>
      <c r="F31" s="14" t="n">
        <v>1.62</v>
      </c>
    </row>
    <row r="32">
      <c r="A32" s="8" t="inlineStr">
        <is>
          <t>Safety LTI</t>
        </is>
      </c>
      <c r="B32" s="14" t="n">
        <v>10</v>
      </c>
      <c r="C32" s="14" t="n">
        <v>10</v>
      </c>
      <c r="D32" s="14" t="n">
        <v>10</v>
      </c>
      <c r="E32" s="14" t="n">
        <v>10</v>
      </c>
      <c r="F32" s="14" t="n">
        <v>10</v>
      </c>
    </row>
    <row r="33">
      <c r="A33" s="30" t="inlineStr">
        <is>
          <t>TOTAL %</t>
        </is>
      </c>
      <c r="B33" s="20" t="n">
        <v>91.64</v>
      </c>
      <c r="C33" s="20" t="n">
        <v>90.56</v>
      </c>
      <c r="D33" s="20" t="n">
        <v>91.83</v>
      </c>
      <c r="E33" s="20" t="n">
        <v>93.22</v>
      </c>
      <c r="F33" s="20" t="n">
        <v>86.62</v>
      </c>
    </row>
    <row r="35">
      <c r="A35" t="inlineStr">
        <is>
          <t>PLANT TOTAL (average) %</t>
        </is>
      </c>
      <c r="B35" s="31" t="n">
        <v>90.78</v>
      </c>
    </row>
    <row r="36">
      <c r="A36" t="inlineStr">
        <is>
          <t>Example bonus (Maint eng £324)</t>
        </is>
      </c>
      <c r="B36" s="32" t="n">
        <v>294.11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2026-08-06T11:06:29Z</dcterms:created>
  <dcterms:modified xsi:type="dcterms:W3CDTF">2026-08-06T11:06:29Z</dcterms:modified>
</cp:coreProperties>
</file>