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  <sheet name="Calc" sheetId="3" state="visible" r:id="rId3"/>
    <sheet name="How_To_Create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£#,##0.00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b val="1"/>
      <sz val="12"/>
    </font>
    <font>
      <b val="1"/>
      <color rgb="001F4E79"/>
      <sz val="13"/>
    </font>
    <font>
      <b val="1"/>
      <color rgb="00FFFFFF"/>
      <sz val="11"/>
    </font>
    <font>
      <i val="1"/>
      <color rgb="00666666"/>
    </font>
    <font>
      <b val="1"/>
      <color rgb="001F4E79"/>
      <sz val="14"/>
    </font>
    <font>
      <b val="1"/>
      <color rgb="00006100"/>
      <sz val="18"/>
    </font>
    <font>
      <b val="1"/>
      <color rgb="001F4E79"/>
      <sz val="16"/>
    </font>
    <font>
      <color rgb="00666666"/>
      <sz val="9"/>
    </font>
    <font>
      <b val="1"/>
      <sz val="14"/>
    </font>
    <font>
      <b val="1"/>
    </font>
    <font>
      <i val="1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7" borderId="0" pivotButton="0" quotePrefix="0" xfId="0"/>
    <xf numFmtId="164" fontId="7" fillId="6" borderId="2" pivotButton="0" quotePrefix="0" xfId="0"/>
    <xf numFmtId="165" fontId="2" fillId="7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0" fillId="6" borderId="0" pivotButton="0" quotePrefix="0" xfId="0"/>
    <xf numFmtId="0" fontId="11" fillId="0" borderId="0" pivotButton="0" quotePrefix="0" xfId="0"/>
    <xf numFmtId="0" fontId="0" fillId="0" borderId="1" pivotButton="0" quotePrefix="0" xfId="0"/>
    <xf numFmtId="2" fontId="2" fillId="0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3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4" fillId="3" borderId="1" pivotButton="0" quotePrefix="0" xfId="0"/>
    <xf numFmtId="0" fontId="0" fillId="4" borderId="1" pivotButton="0" quotePrefix="0" xfId="0"/>
    <xf numFmtId="9" fontId="0" fillId="4" borderId="1" pivotButton="0" quotePrefix="0" xfId="0"/>
    <xf numFmtId="2" fontId="0" fillId="2" borderId="1" applyAlignment="1" pivotButton="0" quotePrefix="0" xfId="0">
      <alignment horizontal="center" vertical="center" wrapText="1"/>
    </xf>
    <xf numFmtId="2" fontId="0" fillId="5" borderId="0" pivotButton="0" quotePrefix="0" xfId="0"/>
    <xf numFmtId="2" fontId="2" fillId="6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KPI Score % by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>
              <a:prstDash val="solid"/>
            </a:ln>
          </spPr>
          <cat>
            <numRef>
              <f>'Dashboard'!$A$21:$A$25</f>
            </numRef>
          </cat>
          <val>
            <numRef>
              <f>'Dashboard'!$B$21:$B$25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Weighted Points by KPI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'Dashboard'!E20</f>
            </strRef>
          </tx>
          <spPr>
            <a:ln>
              <a:prstDash val="solid"/>
            </a:ln>
          </spPr>
          <cat>
            <numRef>
              <f>'Dashboard'!$D$21:$D$27</f>
            </numRef>
          </cat>
          <val>
            <numRef>
              <f>'Dashboard'!$E$21:$E$27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Weighted points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Actual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'Dashboard'!H20</f>
            </strRef>
          </tx>
          <spPr>
            <a:ln>
              <a:prstDash val="solid"/>
            </a:ln>
          </spPr>
          <cat>
            <numRef>
              <f>'Dashboard'!$G$21:$G$26</f>
            </numRef>
          </cat>
          <val>
            <numRef>
              <f>'Dashboard'!$H$21:$H$26</f>
            </numRef>
          </val>
        </ser>
        <ser>
          <idx val="1"/>
          <order val="1"/>
          <tx>
            <strRef>
              <f>'Dashboard'!I20</f>
            </strRef>
          </tx>
          <spPr>
            <a:ln>
              <a:prstDash val="solid"/>
            </a:ln>
          </spPr>
          <cat>
            <numRef>
              <f>'Dashboard'!$G$21:$G$26</f>
            </numRef>
          </cat>
          <val>
            <numRef>
              <f>'Dashboard'!$I$21:$I$26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1" customWidth="1" min="12" max="12"/>
  </cols>
  <sheetData>
    <row r="1" ht="28" customHeight="1">
      <c r="A1" s="1" t="inlineStr">
        <is>
          <t>SIGNATURE FLATBREADS — MAINTENANCE KPI DASHBOARD</t>
        </is>
      </c>
    </row>
    <row r="2" ht="30" customHeight="1">
      <c r="A2" t="inlineStr">
        <is>
          <t>Month:</t>
        </is>
      </c>
      <c r="B2" s="2">
        <f>Data!B2</f>
        <v/>
      </c>
      <c r="C2" t="inlineStr">
        <is>
          <t>Plant score</t>
        </is>
      </c>
      <c r="D2" s="3">
        <f>Calc!P9</f>
        <v/>
      </c>
      <c r="E2" t="inlineStr">
        <is>
          <t>Bonus example (£324)</t>
        </is>
      </c>
      <c r="F2" s="4">
        <f>324*Calc!P9/100</f>
        <v/>
      </c>
    </row>
    <row r="4">
      <c r="A4" s="5" t="inlineStr">
        <is>
          <t>KPI SNAPSHOT (Plant average Actual vs Target)</t>
        </is>
      </c>
    </row>
    <row r="5">
      <c r="A5" s="6" t="inlineStr">
        <is>
          <t>OEE %</t>
        </is>
      </c>
      <c r="B5" s="7" t="n"/>
      <c r="C5" s="6" t="inlineStr">
        <is>
          <t>BF count</t>
        </is>
      </c>
      <c r="D5" s="7" t="n"/>
      <c r="E5" s="6" t="inlineStr">
        <is>
          <t>BH hours</t>
        </is>
      </c>
      <c r="F5" s="7" t="n"/>
      <c r="G5" s="6" t="inlineStr">
        <is>
          <t>PM %</t>
        </is>
      </c>
      <c r="H5" s="7" t="n"/>
      <c r="I5" s="6" t="inlineStr">
        <is>
          <t>MTTR hours</t>
        </is>
      </c>
      <c r="J5" s="7" t="n"/>
      <c r="K5" s="6" t="inlineStr">
        <is>
          <t>MTBF hours</t>
        </is>
      </c>
      <c r="L5" s="7" t="n"/>
    </row>
    <row r="6" ht="28" customHeight="1">
      <c r="A6" s="8">
        <f>ROUND(Calc!B11,1)</f>
        <v/>
      </c>
      <c r="B6" s="9" t="n"/>
      <c r="C6" s="8">
        <f>ROUND(Calc!B12,1)</f>
        <v/>
      </c>
      <c r="D6" s="9" t="n"/>
      <c r="E6" s="8">
        <f>ROUND(Calc!B13,1)</f>
        <v/>
      </c>
      <c r="F6" s="9" t="n"/>
      <c r="G6" s="8">
        <f>ROUND(Calc!B14,1)</f>
        <v/>
      </c>
      <c r="H6" s="9" t="n"/>
      <c r="I6" s="8">
        <f>ROUND(Calc!B15,2)</f>
        <v/>
      </c>
      <c r="J6" s="9" t="n"/>
      <c r="K6" s="8">
        <f>ROUND(Calc!B16,1)</f>
        <v/>
      </c>
      <c r="L6" s="9" t="n"/>
    </row>
    <row r="7">
      <c r="A7" s="10" t="inlineStr">
        <is>
          <t>Target 82</t>
        </is>
      </c>
      <c r="B7" s="11" t="n"/>
      <c r="C7" s="10" t="inlineStr">
        <is>
          <t>Target ≤15</t>
        </is>
      </c>
      <c r="D7" s="11" t="n"/>
      <c r="E7" s="10" t="inlineStr">
        <is>
          <t>Target ≤20</t>
        </is>
      </c>
      <c r="F7" s="11" t="n"/>
      <c r="G7" s="10" t="inlineStr">
        <is>
          <t>Target ≥98</t>
        </is>
      </c>
      <c r="H7" s="11" t="n"/>
      <c r="I7" s="10" t="inlineStr">
        <is>
          <t>Target &lt;2.5</t>
        </is>
      </c>
      <c r="J7" s="11" t="n"/>
      <c r="K7" s="10" t="inlineStr">
        <is>
          <t>Target &gt;150</t>
        </is>
      </c>
      <c r="L7" s="11" t="n"/>
    </row>
    <row r="8">
      <c r="A8" t="inlineStr">
        <is>
          <t>Safety LTI (all lines):</t>
        </is>
      </c>
      <c r="C8" s="12">
        <f>Calc!B17</f>
        <v/>
      </c>
      <c r="D8" s="13">
        <f>IF(C8=0,"PASS — Zero LTI","FAIL — Bonus may be cut 50%")</f>
        <v/>
      </c>
    </row>
    <row r="10">
      <c r="A10" s="5" t="inlineStr">
        <is>
          <t>LINE SCORECARD — Actual / Score % / Weighted / Total</t>
        </is>
      </c>
    </row>
    <row r="11">
      <c r="A11" s="6" t="inlineStr">
        <is>
          <t>Line</t>
        </is>
      </c>
      <c r="B11" s="6" t="inlineStr">
        <is>
          <t>Name</t>
        </is>
      </c>
      <c r="C11" s="6" t="inlineStr">
        <is>
          <t>Total Score %</t>
        </is>
      </c>
      <c r="D11" s="6" t="inlineStr">
        <is>
          <t>OEE W</t>
        </is>
      </c>
      <c r="E11" s="6" t="inlineStr">
        <is>
          <t>BF W</t>
        </is>
      </c>
      <c r="F11" s="6" t="inlineStr">
        <is>
          <t>BH W</t>
        </is>
      </c>
      <c r="G11" s="6" t="inlineStr">
        <is>
          <t>PM W</t>
        </is>
      </c>
      <c r="H11" s="6" t="inlineStr">
        <is>
          <t>MTTR W</t>
        </is>
      </c>
      <c r="I11" s="6" t="inlineStr">
        <is>
          <t>MTBF W</t>
        </is>
      </c>
      <c r="J11" s="6" t="inlineStr">
        <is>
          <t>Safety W</t>
        </is>
      </c>
      <c r="K11" s="6" t="inlineStr">
        <is>
          <t>Status</t>
        </is>
      </c>
    </row>
    <row r="12">
      <c r="A12" s="14" t="inlineStr">
        <is>
          <t>P1</t>
        </is>
      </c>
      <c r="B12" s="14" t="inlineStr">
        <is>
          <t>Pancake</t>
        </is>
      </c>
      <c r="C12" s="15">
        <f>Calc!P3</f>
        <v/>
      </c>
      <c r="D12" s="16">
        <f>Calc!I3</f>
        <v/>
      </c>
      <c r="E12" s="16">
        <f>Calc!J3</f>
        <v/>
      </c>
      <c r="F12" s="16">
        <f>Calc!K3</f>
        <v/>
      </c>
      <c r="G12" s="16">
        <f>Calc!L3</f>
        <v/>
      </c>
      <c r="H12" s="16">
        <f>Calc!M3</f>
        <v/>
      </c>
      <c r="I12" s="16">
        <f>Calc!N3</f>
        <v/>
      </c>
      <c r="J12" s="16">
        <f>Calc!O3</f>
        <v/>
      </c>
      <c r="K12" s="17">
        <f>IF(C12&gt;=90,"Good",IF(C12&gt;=80,"OK","Needs focus"))</f>
        <v/>
      </c>
    </row>
    <row r="13">
      <c r="A13" s="14" t="inlineStr">
        <is>
          <t>T1</t>
        </is>
      </c>
      <c r="B13" s="14" t="inlineStr">
        <is>
          <t>Tortilla</t>
        </is>
      </c>
      <c r="C13" s="15">
        <f>Calc!P4</f>
        <v/>
      </c>
      <c r="D13" s="16">
        <f>Calc!I4</f>
        <v/>
      </c>
      <c r="E13" s="16">
        <f>Calc!J4</f>
        <v/>
      </c>
      <c r="F13" s="16">
        <f>Calc!K4</f>
        <v/>
      </c>
      <c r="G13" s="16">
        <f>Calc!L4</f>
        <v/>
      </c>
      <c r="H13" s="16">
        <f>Calc!M4</f>
        <v/>
      </c>
      <c r="I13" s="16">
        <f>Calc!N4</f>
        <v/>
      </c>
      <c r="J13" s="16">
        <f>Calc!O4</f>
        <v/>
      </c>
      <c r="K13" s="17">
        <f>IF(C13&gt;=90,"Good",IF(C13&gt;=80,"OK","Needs focus"))</f>
        <v/>
      </c>
    </row>
    <row r="14">
      <c r="A14" s="14" t="inlineStr">
        <is>
          <t>T2</t>
        </is>
      </c>
      <c r="B14" s="14" t="inlineStr">
        <is>
          <t>Tortilla</t>
        </is>
      </c>
      <c r="C14" s="15">
        <f>Calc!P5</f>
        <v/>
      </c>
      <c r="D14" s="16">
        <f>Calc!I5</f>
        <v/>
      </c>
      <c r="E14" s="16">
        <f>Calc!J5</f>
        <v/>
      </c>
      <c r="F14" s="16">
        <f>Calc!K5</f>
        <v/>
      </c>
      <c r="G14" s="16">
        <f>Calc!L5</f>
        <v/>
      </c>
      <c r="H14" s="16">
        <f>Calc!M5</f>
        <v/>
      </c>
      <c r="I14" s="16">
        <f>Calc!N5</f>
        <v/>
      </c>
      <c r="J14" s="16">
        <f>Calc!O5</f>
        <v/>
      </c>
      <c r="K14" s="17">
        <f>IF(C14&gt;=90,"Good",IF(C14&gt;=80,"OK","Needs focus"))</f>
        <v/>
      </c>
    </row>
    <row r="15">
      <c r="A15" s="14" t="inlineStr">
        <is>
          <t>L8</t>
        </is>
      </c>
      <c r="B15" s="14" t="inlineStr">
        <is>
          <t>Line L8</t>
        </is>
      </c>
      <c r="C15" s="15">
        <f>Calc!P6</f>
        <v/>
      </c>
      <c r="D15" s="16">
        <f>Calc!I6</f>
        <v/>
      </c>
      <c r="E15" s="16">
        <f>Calc!J6</f>
        <v/>
      </c>
      <c r="F15" s="16">
        <f>Calc!K6</f>
        <v/>
      </c>
      <c r="G15" s="16">
        <f>Calc!L6</f>
        <v/>
      </c>
      <c r="H15" s="16">
        <f>Calc!M6</f>
        <v/>
      </c>
      <c r="I15" s="16">
        <f>Calc!N6</f>
        <v/>
      </c>
      <c r="J15" s="16">
        <f>Calc!O6</f>
        <v/>
      </c>
      <c r="K15" s="17">
        <f>IF(C15&gt;=90,"Good",IF(C15&gt;=80,"OK","Needs focus"))</f>
        <v/>
      </c>
    </row>
    <row r="16">
      <c r="A16" s="14" t="inlineStr">
        <is>
          <t>L9</t>
        </is>
      </c>
      <c r="B16" s="14" t="inlineStr">
        <is>
          <t>Line L9</t>
        </is>
      </c>
      <c r="C16" s="15">
        <f>Calc!P7</f>
        <v/>
      </c>
      <c r="D16" s="16">
        <f>Calc!I7</f>
        <v/>
      </c>
      <c r="E16" s="16">
        <f>Calc!J7</f>
        <v/>
      </c>
      <c r="F16" s="16">
        <f>Calc!K7</f>
        <v/>
      </c>
      <c r="G16" s="16">
        <f>Calc!L7</f>
        <v/>
      </c>
      <c r="H16" s="16">
        <f>Calc!M7</f>
        <v/>
      </c>
      <c r="I16" s="16">
        <f>Calc!N7</f>
        <v/>
      </c>
      <c r="J16" s="16">
        <f>Calc!O7</f>
        <v/>
      </c>
      <c r="K16" s="17">
        <f>IF(C16&gt;=90,"Good",IF(C16&gt;=80,"OK","Needs focus"))</f>
        <v/>
      </c>
    </row>
    <row r="19">
      <c r="A19" s="18" t="inlineStr">
        <is>
          <t>CHART DATA (used by charts below)</t>
        </is>
      </c>
    </row>
    <row r="20">
      <c r="A20" s="19" t="inlineStr">
        <is>
          <t>Line</t>
        </is>
      </c>
      <c r="B20" s="19" t="inlineStr">
        <is>
          <t>Total Score %</t>
        </is>
      </c>
      <c r="D20" s="19" t="inlineStr">
        <is>
          <t>KPI</t>
        </is>
      </c>
      <c r="E20" s="19" t="inlineStr">
        <is>
          <t>Avg Weighted</t>
        </is>
      </c>
      <c r="G20" s="19" t="inlineStr">
        <is>
          <t>KPI</t>
        </is>
      </c>
      <c r="H20" s="19" t="inlineStr">
        <is>
          <t>Actual</t>
        </is>
      </c>
      <c r="I20" s="19" t="inlineStr">
        <is>
          <t>Target</t>
        </is>
      </c>
    </row>
    <row r="21">
      <c r="A21">
        <f>A12</f>
        <v/>
      </c>
      <c r="B21" s="20">
        <f>C12</f>
        <v/>
      </c>
      <c r="D21" t="inlineStr">
        <is>
          <t>OEE</t>
        </is>
      </c>
      <c r="E21" s="20">
        <f>AVERAGE(D12:D16)</f>
        <v/>
      </c>
      <c r="G21" t="inlineStr">
        <is>
          <t>OEE</t>
        </is>
      </c>
      <c r="H21" s="20">
        <f>Calc!B11</f>
        <v/>
      </c>
      <c r="I21" s="20">
        <f>Data!B6</f>
        <v/>
      </c>
    </row>
    <row r="22">
      <c r="A22">
        <f>A13</f>
        <v/>
      </c>
      <c r="B22" s="20">
        <f>C13</f>
        <v/>
      </c>
      <c r="D22" t="inlineStr">
        <is>
          <t>BF</t>
        </is>
      </c>
      <c r="E22" s="20">
        <f>AVERAGE(E12:E16)</f>
        <v/>
      </c>
      <c r="G22" t="inlineStr">
        <is>
          <t>BF</t>
        </is>
      </c>
      <c r="H22" s="20">
        <f>Calc!B12</f>
        <v/>
      </c>
      <c r="I22" s="20">
        <f>Data!B7</f>
        <v/>
      </c>
    </row>
    <row r="23">
      <c r="A23">
        <f>A14</f>
        <v/>
      </c>
      <c r="B23" s="20">
        <f>C14</f>
        <v/>
      </c>
      <c r="D23" t="inlineStr">
        <is>
          <t>BH</t>
        </is>
      </c>
      <c r="E23" s="20">
        <f>AVERAGE(F12:F16)</f>
        <v/>
      </c>
      <c r="G23" t="inlineStr">
        <is>
          <t>BH</t>
        </is>
      </c>
      <c r="H23" s="20">
        <f>Calc!B13</f>
        <v/>
      </c>
      <c r="I23" s="20">
        <f>Data!B8</f>
        <v/>
      </c>
    </row>
    <row r="24">
      <c r="A24">
        <f>A15</f>
        <v/>
      </c>
      <c r="B24" s="20">
        <f>C15</f>
        <v/>
      </c>
      <c r="D24" t="inlineStr">
        <is>
          <t>PM</t>
        </is>
      </c>
      <c r="E24" s="20">
        <f>AVERAGE(G12:G16)</f>
        <v/>
      </c>
      <c r="G24" t="inlineStr">
        <is>
          <t>PM</t>
        </is>
      </c>
      <c r="H24" s="20">
        <f>Calc!B14</f>
        <v/>
      </c>
      <c r="I24" s="20">
        <f>Data!B9</f>
        <v/>
      </c>
    </row>
    <row r="25">
      <c r="A25">
        <f>A16</f>
        <v/>
      </c>
      <c r="B25" s="20">
        <f>C16</f>
        <v/>
      </c>
      <c r="D25" t="inlineStr">
        <is>
          <t>MTTR</t>
        </is>
      </c>
      <c r="E25" s="20">
        <f>AVERAGE(H12:H16)</f>
        <v/>
      </c>
      <c r="G25" t="inlineStr">
        <is>
          <t>MTTR</t>
        </is>
      </c>
      <c r="H25" s="20">
        <f>Calc!B15</f>
        <v/>
      </c>
      <c r="I25" s="20">
        <f>Data!B10</f>
        <v/>
      </c>
    </row>
    <row r="26">
      <c r="D26" t="inlineStr">
        <is>
          <t>MTBF</t>
        </is>
      </c>
      <c r="E26" s="20">
        <f>AVERAGE(I12:I16)</f>
        <v/>
      </c>
      <c r="G26" t="inlineStr">
        <is>
          <t>MTBF</t>
        </is>
      </c>
      <c r="H26" s="20">
        <f>Calc!B16</f>
        <v/>
      </c>
      <c r="I26" s="20">
        <f>Data!B11</f>
        <v/>
      </c>
    </row>
    <row r="27">
      <c r="D27" t="inlineStr">
        <is>
          <t>Safety</t>
        </is>
      </c>
      <c r="E27" s="20">
        <f>AVERAGE(J12:J16)</f>
        <v/>
      </c>
    </row>
    <row r="60">
      <c r="A60" s="5" t="inlineStr">
        <is>
          <t>HOW TO USE THIS DASHBOARD</t>
        </is>
      </c>
    </row>
    <row r="61">
      <c r="A61" t="inlineStr">
        <is>
          <t>1. Go to sheet «Data»</t>
        </is>
      </c>
    </row>
    <row r="62">
      <c r="A62" t="inlineStr">
        <is>
          <t>2. Change Month in B2</t>
        </is>
      </c>
    </row>
    <row r="63">
      <c r="A63" t="inlineStr">
        <is>
          <t>3. Type Actual numbers for P1, T1, T2, L8, L9 in yellow cells (OEE, BF, BH, PM, MTTR, MTBF, LTI)</t>
        </is>
      </c>
    </row>
    <row r="64">
      <c r="A64" t="inlineStr">
        <is>
          <t>4. Come back to «Dashboard» — scores, colours, and charts update automatically</t>
        </is>
      </c>
    </row>
    <row r="65">
      <c r="A65" t="inlineStr">
        <is>
          <t>5. Show this Dashboard sheet to your manager in meetings</t>
        </is>
      </c>
    </row>
    <row r="66">
      <c r="A66" t="inlineStr">
        <is>
          <t>6. Optional: File → Print → set print area A1:L58 for a one-page pack</t>
        </is>
      </c>
    </row>
    <row r="68">
      <c r="A68" s="21" t="inlineStr">
        <is>
          <t>Status meaning: Good ≥90% | OK 80–89% | Needs focus &lt;80%</t>
        </is>
      </c>
    </row>
  </sheetData>
  <mergeCells count="21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A4:L4"/>
    <mergeCell ref="E6:F6"/>
    <mergeCell ref="A10:L10"/>
    <mergeCell ref="A5:B5"/>
    <mergeCell ref="G5:H5"/>
    <mergeCell ref="I5:J5"/>
    <mergeCell ref="K7:L7"/>
    <mergeCell ref="C7:D7"/>
    <mergeCell ref="E7:F7"/>
    <mergeCell ref="A1:L1"/>
    <mergeCell ref="K6:L6"/>
  </mergeCells>
  <conditionalFormatting sqref="C12:C16">
    <cfRule type="colorScale" priority="1">
      <colorScale>
        <cfvo type="num" val="70"/>
        <cfvo type="num" val="8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DATA ENTRY — type Actuals here (yellow). Dashboard reads this sheet.</t>
        </is>
      </c>
    </row>
    <row r="2">
      <c r="A2" t="inlineStr">
        <is>
          <t>Month</t>
        </is>
      </c>
      <c r="B2" s="22" t="inlineStr">
        <is>
          <t>2026-07</t>
        </is>
      </c>
    </row>
    <row r="4">
      <c r="A4" s="5" t="inlineStr">
        <is>
          <t>TARGETS (Year 1)</t>
        </is>
      </c>
    </row>
    <row r="5">
      <c r="A5" s="23" t="inlineStr">
        <is>
          <t>KPI</t>
        </is>
      </c>
      <c r="B5" s="23" t="inlineStr">
        <is>
          <t>Target</t>
        </is>
      </c>
      <c r="C5" s="23" t="inlineStr">
        <is>
          <t>Weight</t>
        </is>
      </c>
      <c r="D5" s="23" t="inlineStr">
        <is>
          <t>Direction</t>
        </is>
      </c>
    </row>
    <row r="6">
      <c r="A6" s="14" t="inlineStr">
        <is>
          <t>OEE</t>
        </is>
      </c>
      <c r="B6" s="24" t="n">
        <v>82</v>
      </c>
      <c r="C6" s="25" t="n">
        <v>0.2</v>
      </c>
      <c r="D6" s="14" t="inlineStr">
        <is>
          <t>higher</t>
        </is>
      </c>
    </row>
    <row r="7">
      <c r="A7" s="14" t="inlineStr">
        <is>
          <t>Breakdown Frequency</t>
        </is>
      </c>
      <c r="B7" s="24" t="n">
        <v>15</v>
      </c>
      <c r="C7" s="25" t="n">
        <v>0.1</v>
      </c>
      <c r="D7" s="14" t="inlineStr">
        <is>
          <t>lower</t>
        </is>
      </c>
    </row>
    <row r="8">
      <c r="A8" s="14" t="inlineStr">
        <is>
          <t>Breakdown Hours</t>
        </is>
      </c>
      <c r="B8" s="24" t="n">
        <v>20</v>
      </c>
      <c r="C8" s="25" t="n">
        <v>0.15</v>
      </c>
      <c r="D8" s="14" t="inlineStr">
        <is>
          <t>lower</t>
        </is>
      </c>
    </row>
    <row r="9">
      <c r="A9" s="14" t="inlineStr">
        <is>
          <t>PM Compliance</t>
        </is>
      </c>
      <c r="B9" s="24" t="n">
        <v>98</v>
      </c>
      <c r="C9" s="25" t="n">
        <v>0.2</v>
      </c>
      <c r="D9" s="14" t="inlineStr">
        <is>
          <t>higher</t>
        </is>
      </c>
    </row>
    <row r="10">
      <c r="A10" s="14" t="inlineStr">
        <is>
          <t>MTTR</t>
        </is>
      </c>
      <c r="B10" s="24" t="n">
        <v>2.5</v>
      </c>
      <c r="C10" s="25" t="n">
        <v>0.15</v>
      </c>
      <c r="D10" s="14" t="inlineStr">
        <is>
          <t>lower</t>
        </is>
      </c>
    </row>
    <row r="11">
      <c r="A11" s="14" t="inlineStr">
        <is>
          <t>MTBF</t>
        </is>
      </c>
      <c r="B11" s="24" t="n">
        <v>150</v>
      </c>
      <c r="C11" s="25" t="n">
        <v>0.1</v>
      </c>
      <c r="D11" s="14" t="inlineStr">
        <is>
          <t>higher</t>
        </is>
      </c>
    </row>
    <row r="12">
      <c r="A12" s="14" t="inlineStr">
        <is>
          <t>Safety LTI</t>
        </is>
      </c>
      <c r="B12" s="24" t="n">
        <v>0</v>
      </c>
      <c r="C12" s="25" t="n">
        <v>0.1</v>
      </c>
      <c r="D12" s="14" t="inlineStr">
        <is>
          <t>zero</t>
        </is>
      </c>
    </row>
    <row r="14">
      <c r="A14" s="5" t="inlineStr">
        <is>
          <t>ACTUALS BY LINE (type monthly numbers)</t>
        </is>
      </c>
    </row>
    <row r="15">
      <c r="A15" s="6" t="inlineStr">
        <is>
          <t>Line</t>
        </is>
      </c>
      <c r="B15" s="6" t="inlineStr">
        <is>
          <t>Name</t>
        </is>
      </c>
      <c r="C15" s="6" t="inlineStr">
        <is>
          <t>OEE %</t>
        </is>
      </c>
      <c r="D15" s="6" t="inlineStr">
        <is>
          <t>BF count</t>
        </is>
      </c>
      <c r="E15" s="6" t="inlineStr">
        <is>
          <t>BH hours</t>
        </is>
      </c>
      <c r="F15" s="6" t="inlineStr">
        <is>
          <t>PM %</t>
        </is>
      </c>
      <c r="G15" s="6" t="inlineStr">
        <is>
          <t>MTTR hrs</t>
        </is>
      </c>
      <c r="H15" s="6" t="inlineStr">
        <is>
          <t>MTBF hrs</t>
        </is>
      </c>
      <c r="I15" s="6" t="inlineStr">
        <is>
          <t>LTI</t>
        </is>
      </c>
    </row>
    <row r="16">
      <c r="A16" s="14" t="inlineStr">
        <is>
          <t>P1</t>
        </is>
      </c>
      <c r="B16" s="14" t="inlineStr">
        <is>
          <t>Pancake</t>
        </is>
      </c>
      <c r="C16" s="26" t="n">
        <v>80.83</v>
      </c>
      <c r="D16" s="26" t="n">
        <v>12</v>
      </c>
      <c r="E16" s="26" t="n">
        <v>18.5</v>
      </c>
      <c r="F16" s="26" t="n">
        <v>96</v>
      </c>
      <c r="G16" s="26" t="n">
        <v>1.542</v>
      </c>
      <c r="H16" s="26" t="n">
        <v>35</v>
      </c>
      <c r="I16" s="26" t="n">
        <v>0</v>
      </c>
    </row>
    <row r="17">
      <c r="A17" s="14" t="inlineStr">
        <is>
          <t>T1</t>
        </is>
      </c>
      <c r="B17" s="14" t="inlineStr">
        <is>
          <t>Tortilla wrap</t>
        </is>
      </c>
      <c r="C17" s="26" t="n">
        <v>77.58</v>
      </c>
      <c r="D17" s="26" t="n">
        <v>14</v>
      </c>
      <c r="E17" s="26" t="n">
        <v>19</v>
      </c>
      <c r="F17" s="26" t="n">
        <v>96.67</v>
      </c>
      <c r="G17" s="26" t="n">
        <v>1.357</v>
      </c>
      <c r="H17" s="26" t="n">
        <v>28.57</v>
      </c>
      <c r="I17" s="26" t="n">
        <v>0</v>
      </c>
    </row>
    <row r="18">
      <c r="A18" s="14" t="inlineStr">
        <is>
          <t>T2</t>
        </is>
      </c>
      <c r="B18" s="14" t="inlineStr">
        <is>
          <t>Tortilla wrap</t>
        </is>
      </c>
      <c r="C18" s="26" t="n">
        <v>80.65000000000001</v>
      </c>
      <c r="D18" s="26" t="n">
        <v>11</v>
      </c>
      <c r="E18" s="26" t="n">
        <v>16</v>
      </c>
      <c r="F18" s="26" t="n">
        <v>96.43000000000001</v>
      </c>
      <c r="G18" s="26" t="n">
        <v>1.455</v>
      </c>
      <c r="H18" s="26" t="n">
        <v>37.27</v>
      </c>
      <c r="I18" s="26" t="n">
        <v>0</v>
      </c>
    </row>
    <row r="19">
      <c r="A19" s="14" t="inlineStr">
        <is>
          <t>L8</t>
        </is>
      </c>
      <c r="B19" s="14" t="inlineStr">
        <is>
          <t>Line L8</t>
        </is>
      </c>
      <c r="C19" s="26" t="n">
        <v>85.06999999999999</v>
      </c>
      <c r="D19" s="26" t="n">
        <v>9</v>
      </c>
      <c r="E19" s="26" t="n">
        <v>14</v>
      </c>
      <c r="F19" s="26" t="n">
        <v>100</v>
      </c>
      <c r="G19" s="26" t="n">
        <v>1.556</v>
      </c>
      <c r="H19" s="26" t="n">
        <v>48.33</v>
      </c>
      <c r="I19" s="26" t="n">
        <v>0</v>
      </c>
    </row>
    <row r="20">
      <c r="A20" s="14" t="inlineStr">
        <is>
          <t>L9</t>
        </is>
      </c>
      <c r="B20" s="14" t="inlineStr">
        <is>
          <t>Line L9</t>
        </is>
      </c>
      <c r="C20" s="26" t="n">
        <v>76.34</v>
      </c>
      <c r="D20" s="26" t="n">
        <v>16</v>
      </c>
      <c r="E20" s="26" t="n">
        <v>22</v>
      </c>
      <c r="F20" s="26" t="n">
        <v>90</v>
      </c>
      <c r="G20" s="26" t="n">
        <v>1.375</v>
      </c>
      <c r="H20" s="26" t="n">
        <v>24.38</v>
      </c>
      <c r="I20" s="26" t="n">
        <v>0</v>
      </c>
    </row>
    <row r="22">
      <c r="A22" s="21" t="inlineStr">
        <is>
          <t>Tip: Change yellow cells only. Dashboard and charts update automatically.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 calculations for dashboard (do not edit)</t>
        </is>
      </c>
    </row>
    <row r="2">
      <c r="A2" s="6" t="inlineStr">
        <is>
          <t>Line</t>
        </is>
      </c>
      <c r="B2" s="6" t="inlineStr">
        <is>
          <t>OEE Score</t>
        </is>
      </c>
      <c r="C2" s="6" t="inlineStr">
        <is>
          <t>BF Score</t>
        </is>
      </c>
      <c r="D2" s="6" t="inlineStr">
        <is>
          <t>BH Score</t>
        </is>
      </c>
      <c r="E2" s="6" t="inlineStr">
        <is>
          <t>PM Score</t>
        </is>
      </c>
      <c r="F2" s="6" t="inlineStr">
        <is>
          <t>MTTR Score</t>
        </is>
      </c>
      <c r="G2" s="6" t="inlineStr">
        <is>
          <t>MTBF Score</t>
        </is>
      </c>
      <c r="H2" s="6" t="inlineStr">
        <is>
          <t>Safety Score</t>
        </is>
      </c>
      <c r="I2" s="6" t="inlineStr">
        <is>
          <t>OEE W</t>
        </is>
      </c>
      <c r="J2" s="6" t="inlineStr">
        <is>
          <t>BF W</t>
        </is>
      </c>
      <c r="K2" s="6" t="inlineStr">
        <is>
          <t>BH W</t>
        </is>
      </c>
      <c r="L2" s="6" t="inlineStr">
        <is>
          <t>PM W</t>
        </is>
      </c>
      <c r="M2" s="6" t="inlineStr">
        <is>
          <t>MTTR W</t>
        </is>
      </c>
      <c r="N2" s="6" t="inlineStr">
        <is>
          <t>MTBF W</t>
        </is>
      </c>
      <c r="O2" s="6" t="inlineStr">
        <is>
          <t>Safety W</t>
        </is>
      </c>
      <c r="P2" s="6" t="inlineStr">
        <is>
          <t>TOTAL</t>
        </is>
      </c>
    </row>
    <row r="3">
      <c r="A3">
        <f>Data!A16</f>
        <v/>
      </c>
      <c r="B3" s="27">
        <f>MIN(100,Data!C16/Data!$B$6*100)</f>
        <v/>
      </c>
      <c r="C3" s="27">
        <f>IF(Data!D16=0,100,MIN(100,Data!$B$7/Data!D16*100))</f>
        <v/>
      </c>
      <c r="D3" s="27">
        <f>IF(Data!E16=0,100,MIN(100,Data!$B$8/Data!E16*100))</f>
        <v/>
      </c>
      <c r="E3" s="27">
        <f>MIN(100,Data!F16/Data!$B$9*100)</f>
        <v/>
      </c>
      <c r="F3" s="27">
        <f>IF(Data!G16=0,100,MIN(100,Data!$B$10/Data!G16*100))</f>
        <v/>
      </c>
      <c r="G3" s="27">
        <f>MIN(100,Data!H16/Data!$B$11*100)</f>
        <v/>
      </c>
      <c r="H3" s="27">
        <f>IF(Data!I16=0,100,0)</f>
        <v/>
      </c>
      <c r="I3" s="27">
        <f>B3*Data!$C$6</f>
        <v/>
      </c>
      <c r="J3" s="27">
        <f>C3*Data!$C$7</f>
        <v/>
      </c>
      <c r="K3" s="27">
        <f>D3*Data!$C$8</f>
        <v/>
      </c>
      <c r="L3" s="27">
        <f>E3*Data!$C$9</f>
        <v/>
      </c>
      <c r="M3" s="27">
        <f>F3*Data!$C$10</f>
        <v/>
      </c>
      <c r="N3" s="27">
        <f>G3*Data!$C$11</f>
        <v/>
      </c>
      <c r="O3" s="27">
        <f>H3*Data!$C$12</f>
        <v/>
      </c>
      <c r="P3" s="27">
        <f>MIN(100,SUM(I3:O3))</f>
        <v/>
      </c>
    </row>
    <row r="4">
      <c r="A4">
        <f>Data!A17</f>
        <v/>
      </c>
      <c r="B4" s="27">
        <f>MIN(100,Data!C17/Data!$B$6*100)</f>
        <v/>
      </c>
      <c r="C4" s="27">
        <f>IF(Data!D17=0,100,MIN(100,Data!$B$7/Data!D17*100))</f>
        <v/>
      </c>
      <c r="D4" s="27">
        <f>IF(Data!E17=0,100,MIN(100,Data!$B$8/Data!E17*100))</f>
        <v/>
      </c>
      <c r="E4" s="27">
        <f>MIN(100,Data!F17/Data!$B$9*100)</f>
        <v/>
      </c>
      <c r="F4" s="27">
        <f>IF(Data!G17=0,100,MIN(100,Data!$B$10/Data!G17*100))</f>
        <v/>
      </c>
      <c r="G4" s="27">
        <f>MIN(100,Data!H17/Data!$B$11*100)</f>
        <v/>
      </c>
      <c r="H4" s="27">
        <f>IF(Data!I17=0,100,0)</f>
        <v/>
      </c>
      <c r="I4" s="27">
        <f>B4*Data!$C$6</f>
        <v/>
      </c>
      <c r="J4" s="27">
        <f>C4*Data!$C$7</f>
        <v/>
      </c>
      <c r="K4" s="27">
        <f>D4*Data!$C$8</f>
        <v/>
      </c>
      <c r="L4" s="27">
        <f>E4*Data!$C$9</f>
        <v/>
      </c>
      <c r="M4" s="27">
        <f>F4*Data!$C$10</f>
        <v/>
      </c>
      <c r="N4" s="27">
        <f>G4*Data!$C$11</f>
        <v/>
      </c>
      <c r="O4" s="27">
        <f>H4*Data!$C$12</f>
        <v/>
      </c>
      <c r="P4" s="27">
        <f>MIN(100,SUM(I4:O4))</f>
        <v/>
      </c>
    </row>
    <row r="5">
      <c r="A5">
        <f>Data!A18</f>
        <v/>
      </c>
      <c r="B5" s="27">
        <f>MIN(100,Data!C18/Data!$B$6*100)</f>
        <v/>
      </c>
      <c r="C5" s="27">
        <f>IF(Data!D18=0,100,MIN(100,Data!$B$7/Data!D18*100))</f>
        <v/>
      </c>
      <c r="D5" s="27">
        <f>IF(Data!E18=0,100,MIN(100,Data!$B$8/Data!E18*100))</f>
        <v/>
      </c>
      <c r="E5" s="27">
        <f>MIN(100,Data!F18/Data!$B$9*100)</f>
        <v/>
      </c>
      <c r="F5" s="27">
        <f>IF(Data!G18=0,100,MIN(100,Data!$B$10/Data!G18*100))</f>
        <v/>
      </c>
      <c r="G5" s="27">
        <f>MIN(100,Data!H18/Data!$B$11*100)</f>
        <v/>
      </c>
      <c r="H5" s="27">
        <f>IF(Data!I18=0,100,0)</f>
        <v/>
      </c>
      <c r="I5" s="27">
        <f>B5*Data!$C$6</f>
        <v/>
      </c>
      <c r="J5" s="27">
        <f>C5*Data!$C$7</f>
        <v/>
      </c>
      <c r="K5" s="27">
        <f>D5*Data!$C$8</f>
        <v/>
      </c>
      <c r="L5" s="27">
        <f>E5*Data!$C$9</f>
        <v/>
      </c>
      <c r="M5" s="27">
        <f>F5*Data!$C$10</f>
        <v/>
      </c>
      <c r="N5" s="27">
        <f>G5*Data!$C$11</f>
        <v/>
      </c>
      <c r="O5" s="27">
        <f>H5*Data!$C$12</f>
        <v/>
      </c>
      <c r="P5" s="27">
        <f>MIN(100,SUM(I5:O5))</f>
        <v/>
      </c>
    </row>
    <row r="6">
      <c r="A6">
        <f>Data!A19</f>
        <v/>
      </c>
      <c r="B6" s="27">
        <f>MIN(100,Data!C19/Data!$B$6*100)</f>
        <v/>
      </c>
      <c r="C6" s="27">
        <f>IF(Data!D19=0,100,MIN(100,Data!$B$7/Data!D19*100))</f>
        <v/>
      </c>
      <c r="D6" s="27">
        <f>IF(Data!E19=0,100,MIN(100,Data!$B$8/Data!E19*100))</f>
        <v/>
      </c>
      <c r="E6" s="27">
        <f>MIN(100,Data!F19/Data!$B$9*100)</f>
        <v/>
      </c>
      <c r="F6" s="27">
        <f>IF(Data!G19=0,100,MIN(100,Data!$B$10/Data!G19*100))</f>
        <v/>
      </c>
      <c r="G6" s="27">
        <f>MIN(100,Data!H19/Data!$B$11*100)</f>
        <v/>
      </c>
      <c r="H6" s="27">
        <f>IF(Data!I19=0,100,0)</f>
        <v/>
      </c>
      <c r="I6" s="27">
        <f>B6*Data!$C$6</f>
        <v/>
      </c>
      <c r="J6" s="27">
        <f>C6*Data!$C$7</f>
        <v/>
      </c>
      <c r="K6" s="27">
        <f>D6*Data!$C$8</f>
        <v/>
      </c>
      <c r="L6" s="27">
        <f>E6*Data!$C$9</f>
        <v/>
      </c>
      <c r="M6" s="27">
        <f>F6*Data!$C$10</f>
        <v/>
      </c>
      <c r="N6" s="27">
        <f>G6*Data!$C$11</f>
        <v/>
      </c>
      <c r="O6" s="27">
        <f>H6*Data!$C$12</f>
        <v/>
      </c>
      <c r="P6" s="27">
        <f>MIN(100,SUM(I6:O6))</f>
        <v/>
      </c>
    </row>
    <row r="7">
      <c r="A7">
        <f>Data!A20</f>
        <v/>
      </c>
      <c r="B7" s="27">
        <f>MIN(100,Data!C20/Data!$B$6*100)</f>
        <v/>
      </c>
      <c r="C7" s="27">
        <f>IF(Data!D20=0,100,MIN(100,Data!$B$7/Data!D20*100))</f>
        <v/>
      </c>
      <c r="D7" s="27">
        <f>IF(Data!E20=0,100,MIN(100,Data!$B$8/Data!E20*100))</f>
        <v/>
      </c>
      <c r="E7" s="27">
        <f>MIN(100,Data!F20/Data!$B$9*100)</f>
        <v/>
      </c>
      <c r="F7" s="27">
        <f>IF(Data!G20=0,100,MIN(100,Data!$B$10/Data!G20*100))</f>
        <v/>
      </c>
      <c r="G7" s="27">
        <f>MIN(100,Data!H20/Data!$B$11*100)</f>
        <v/>
      </c>
      <c r="H7" s="27">
        <f>IF(Data!I20=0,100,0)</f>
        <v/>
      </c>
      <c r="I7" s="27">
        <f>B7*Data!$C$6</f>
        <v/>
      </c>
      <c r="J7" s="27">
        <f>C7*Data!$C$7</f>
        <v/>
      </c>
      <c r="K7" s="27">
        <f>D7*Data!$C$8</f>
        <v/>
      </c>
      <c r="L7" s="27">
        <f>E7*Data!$C$9</f>
        <v/>
      </c>
      <c r="M7" s="27">
        <f>F7*Data!$C$10</f>
        <v/>
      </c>
      <c r="N7" s="27">
        <f>G7*Data!$C$11</f>
        <v/>
      </c>
      <c r="O7" s="27">
        <f>H7*Data!$C$12</f>
        <v/>
      </c>
      <c r="P7" s="27">
        <f>MIN(100,SUM(I7:O7))</f>
        <v/>
      </c>
    </row>
    <row r="9">
      <c r="A9" t="inlineStr">
        <is>
          <t>Plant average</t>
        </is>
      </c>
      <c r="P9" s="28">
        <f>AVERAGE(P3:P7)</f>
        <v/>
      </c>
    </row>
    <row r="11">
      <c r="A11" t="inlineStr">
        <is>
          <t>Plant OEE avg</t>
        </is>
      </c>
      <c r="B11">
        <f>AVERAGE(Data!C16:C20)</f>
        <v/>
      </c>
    </row>
    <row r="12">
      <c r="A12" t="inlineStr">
        <is>
          <t>Plant BF avg</t>
        </is>
      </c>
      <c r="B12">
        <f>AVERAGE(Data!D16:D20)</f>
        <v/>
      </c>
    </row>
    <row r="13">
      <c r="A13" t="inlineStr">
        <is>
          <t>Plant BH avg</t>
        </is>
      </c>
      <c r="B13">
        <f>AVERAGE(Data!E16:E20)</f>
        <v/>
      </c>
    </row>
    <row r="14">
      <c r="A14" t="inlineStr">
        <is>
          <t>Plant PM avg</t>
        </is>
      </c>
      <c r="B14">
        <f>AVERAGE(Data!F16:F20)</f>
        <v/>
      </c>
    </row>
    <row r="15">
      <c r="A15" t="inlineStr">
        <is>
          <t>Plant MTTR avg</t>
        </is>
      </c>
      <c r="B15">
        <f>AVERAGE(Data!G16:G20)</f>
        <v/>
      </c>
    </row>
    <row r="16">
      <c r="A16" t="inlineStr">
        <is>
          <t>Plant MTBF avg</t>
        </is>
      </c>
      <c r="B16">
        <f>AVERAGE(Data!H16:H20)</f>
        <v/>
      </c>
    </row>
    <row r="17">
      <c r="A17" t="inlineStr">
        <is>
          <t>Plant LTI sum</t>
        </is>
      </c>
      <c r="B17">
        <f>SUM(Data!I16:I20)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How to create a KPI dashboard in Excel (junior steps)</t>
        </is>
      </c>
    </row>
    <row r="3" ht="30" customHeight="1">
      <c r="A3" s="29" t="inlineStr">
        <is>
          <t>Step</t>
        </is>
      </c>
      <c r="B3" s="29" t="inlineStr">
        <is>
          <t>What to do</t>
        </is>
      </c>
    </row>
    <row r="4" ht="30" customHeight="1">
      <c r="A4" s="30" t="inlineStr">
        <is>
          <t>1. Plan 3 sheets</t>
        </is>
      </c>
      <c r="B4" s="30" t="inlineStr">
        <is>
          <t>Data (inputs) + Calc (formulas) + Dashboard (what manager sees)</t>
        </is>
      </c>
    </row>
    <row r="5" ht="30" customHeight="1">
      <c r="A5" s="30" t="inlineStr">
        <is>
          <t>2. Data sheet</t>
        </is>
      </c>
      <c r="B5" s="30" t="inlineStr">
        <is>
          <t>List lines P1,T1,T2,L8,L9. Columns for each KPI Actual. Yellow = type here.</t>
        </is>
      </c>
    </row>
    <row r="6" ht="30" customHeight="1">
      <c r="A6" s="30" t="inlineStr">
        <is>
          <t>3. Targets</t>
        </is>
      </c>
      <c r="B6" s="30" t="inlineStr">
        <is>
          <t>Put Year-1 targets and weights on Data sheet (OEE 82/20%, BF 15/10%, etc.).</t>
        </is>
      </c>
    </row>
    <row r="7" ht="30" customHeight="1">
      <c r="A7" s="30" t="inlineStr">
        <is>
          <t>4. Calc sheet</t>
        </is>
      </c>
      <c r="B7" s="30" t="inlineStr">
        <is>
          <t>For each line calculate Score % and Weighted for 7 KPIs, then TOTAL.</t>
        </is>
      </c>
    </row>
    <row r="8" ht="30" customHeight="1">
      <c r="A8" s="30" t="inlineStr">
        <is>
          <t>5. Score formula</t>
        </is>
      </c>
      <c r="B8" s="30" t="inlineStr">
        <is>
          <t>Higher better: =MIN(100,Actual/Target*100). Lower better: =MIN(100,Target/Actual*100).</t>
        </is>
      </c>
    </row>
    <row r="9" ht="30" customHeight="1">
      <c r="A9" s="30" t="inlineStr">
        <is>
          <t>6. Weighted</t>
        </is>
      </c>
      <c r="B9" s="30">
        <f>Score * Weight  (example OEE: Score*0.20)</f>
        <v/>
      </c>
    </row>
    <row r="10" ht="30" customHeight="1">
      <c r="A10" s="30" t="inlineStr">
        <is>
          <t>7. Dashboard title</t>
        </is>
      </c>
      <c r="B10" s="30" t="inlineStr">
        <is>
          <t>Company name + KPI Dashboard + Month</t>
        </is>
      </c>
    </row>
    <row r="11" ht="30" customHeight="1">
      <c r="A11" s="30" t="inlineStr">
        <is>
          <t>8. Big number cards</t>
        </is>
      </c>
      <c r="B11" s="30" t="inlineStr">
        <is>
          <t>Show Plant Score, OEE, BF, BH, PM, MTTR, MTBF, Safety at the top</t>
        </is>
      </c>
    </row>
    <row r="12" ht="30" customHeight="1">
      <c r="A12" s="30" t="inlineStr">
        <is>
          <t>9. Score table</t>
        </is>
      </c>
      <c r="B12" s="30" t="inlineStr">
        <is>
          <t>One row per line with Total Score % and status Good/OK/Needs focus</t>
        </is>
      </c>
    </row>
    <row r="13" ht="30" customHeight="1">
      <c r="A13" s="30" t="inlineStr">
        <is>
          <t>10. Charts</t>
        </is>
      </c>
      <c r="B13" s="30" t="inlineStr">
        <is>
          <t>Insert → Charts → Column chart for Score by Line; another for Actual vs Target</t>
        </is>
      </c>
    </row>
    <row r="14" ht="30" customHeight="1">
      <c r="A14" s="30" t="inlineStr">
        <is>
          <t>11. Colours</t>
        </is>
      </c>
      <c r="B14" s="30" t="inlineStr">
        <is>
          <t>Home → Conditional Formatting → Colour Scales on Total Score column</t>
        </is>
      </c>
    </row>
    <row r="15" ht="30" customHeight="1">
      <c r="A15" s="30" t="inlineStr">
        <is>
          <t>12. Refresh habit</t>
        </is>
      </c>
      <c r="B15" s="30" t="inlineStr">
        <is>
          <t>Each month only update Data sheet yellow cells; never redraw charts</t>
        </is>
      </c>
    </row>
    <row r="16" ht="30" customHeight="1">
      <c r="A16" s="30" t="inlineStr">
        <is>
          <t>13. Present</t>
        </is>
      </c>
      <c r="B16" s="30" t="inlineStr">
        <is>
          <t>Hide Calc sheet (right-click tab → Hide). Show only Dashboard + Data</t>
        </is>
      </c>
    </row>
    <row r="18">
      <c r="A18" s="5" t="inlineStr">
        <is>
          <t>Minimum charts for a good KPI dashboard</t>
        </is>
      </c>
    </row>
    <row r="19">
      <c r="A19" t="inlineStr">
        <is>
          <t>1) Bar chart — Total KPI Score by Line (P1, T1, T2, L8, L9)</t>
        </is>
      </c>
    </row>
    <row r="20">
      <c r="A20" t="inlineStr">
        <is>
          <t>2) Bar chart — Actual vs Target for main KPIs</t>
        </is>
      </c>
    </row>
    <row r="21">
      <c r="A21" t="inlineStr">
        <is>
          <t>3) Bar/Pie — Which KPI contributes most weighted points</t>
        </is>
      </c>
    </row>
    <row r="22">
      <c r="A22" t="inlineStr">
        <is>
          <t>Keep it simple: 1 screen, 3 charts, clear total score.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2026-08-06T16:38:17Z</dcterms:created>
  <dcterms:modified xsi:type="dcterms:W3CDTF">2026-08-06T16:38:17Z</dcterms:modified>
</cp:coreProperties>
</file>