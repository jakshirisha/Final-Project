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reate_Guide" sheetId="1" state="visible" r:id="rId1"/>
    <sheet name="1_Parameters" sheetId="2" state="visible" r:id="rId2"/>
    <sheet name="2_Actuals" sheetId="3" state="visible" r:id="rId3"/>
    <sheet name="3_Scorecard" sheetId="4" state="visible" r:id="rId4"/>
    <sheet name="4_Bonus" sheetId="5" state="visible" r:id="rId5"/>
    <sheet name="Parameter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0.0"/>
    <numFmt numFmtId="166" formatCode="£#,##0.00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color rgb="001F4E79"/>
      <sz val="12"/>
    </font>
    <font>
      <i val="1"/>
      <color rgb="00666666"/>
    </font>
    <font>
      <b val="1"/>
      <sz val="12"/>
    </font>
    <font>
      <b val="1"/>
    </font>
    <font>
      <i val="1"/>
      <color rgb="00C00000"/>
    </font>
    <font>
      <b val="1"/>
      <color rgb="001F4E79"/>
      <sz val="14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9" fontId="0" fillId="5" borderId="1" pivotButton="0" quotePrefix="0" xfId="0"/>
    <xf numFmtId="0" fontId="0" fillId="5" borderId="0" pivotButton="0" quotePrefix="0" xfId="0"/>
    <xf numFmtId="9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2" fontId="0" fillId="5" borderId="1" pivotButton="0" quotePrefix="0" xfId="0"/>
    <xf numFmtId="2" fontId="0" fillId="4" borderId="1" pivotButton="0" quotePrefix="0" xfId="0"/>
    <xf numFmtId="165" fontId="0" fillId="5" borderId="1" pivotButton="0" quotePrefix="0" xfId="0"/>
    <xf numFmtId="0" fontId="6" fillId="0" borderId="0" pivotButton="0" quotePrefix="0" xfId="0"/>
    <xf numFmtId="0" fontId="0" fillId="2" borderId="1" pivotButton="0" quotePrefix="0" xfId="0"/>
    <xf numFmtId="2" fontId="5" fillId="6" borderId="1" pivotButton="0" quotePrefix="0" xfId="0"/>
    <xf numFmtId="0" fontId="7" fillId="0" borderId="0" pivotButton="0" quotePrefix="0" xfId="0"/>
    <xf numFmtId="2" fontId="6" fillId="5" borderId="1" pivotButton="0" quotePrefix="0" xfId="0"/>
    <xf numFmtId="0" fontId="8" fillId="0" borderId="0" pivotButton="0" quotePrefix="0" xfId="0"/>
    <xf numFmtId="2" fontId="9" fillId="6" borderId="1" pivotButton="0" quotePrefix="0" xfId="0"/>
    <xf numFmtId="164" fontId="0" fillId="0" borderId="1" pivotButton="0" quotePrefix="0" xfId="0"/>
    <xf numFmtId="166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78" customWidth="1" min="2" max="2"/>
    <col width="16" customWidth="1" min="3" max="3"/>
  </cols>
  <sheetData>
    <row r="1">
      <c r="A1" s="1" t="inlineStr">
        <is>
          <t>How to create this Excel KPI sheet (Signature Flatbreads)</t>
        </is>
      </c>
    </row>
    <row r="3">
      <c r="A3" s="2" t="inlineStr">
        <is>
          <t>Step</t>
        </is>
      </c>
      <c r="B3" s="2" t="inlineStr">
        <is>
          <t>What to do</t>
        </is>
      </c>
      <c r="C3" s="2" t="inlineStr">
        <is>
          <t>Sheet</t>
        </is>
      </c>
    </row>
    <row r="4">
      <c r="A4" s="3" t="inlineStr">
        <is>
          <t>1</t>
        </is>
      </c>
      <c r="B4" s="3" t="inlineStr">
        <is>
          <t>Create a new Excel workbook and rename sheets as shown in column C</t>
        </is>
      </c>
      <c r="C4" s="3" t="inlineStr">
        <is>
          <t>—</t>
        </is>
      </c>
    </row>
    <row r="5">
      <c r="A5" s="3" t="inlineStr">
        <is>
          <t>2</t>
        </is>
      </c>
      <c r="B5" s="3" t="inlineStr">
        <is>
          <t>On Parameters sheet: enter Weights, Year-1 Targets, Lines, Bonus opportunities</t>
        </is>
      </c>
      <c r="C5" s="3" t="inlineStr">
        <is>
          <t>1_Parameters</t>
        </is>
      </c>
    </row>
    <row r="6">
      <c r="A6" s="3" t="inlineStr">
        <is>
          <t>3</t>
        </is>
      </c>
      <c r="B6" s="3" t="inlineStr">
        <is>
          <t>On Actuals sheet: create one column per line (P1, T1, T2, L8, L9) and yellow input rows</t>
        </is>
      </c>
      <c r="C6" s="3" t="inlineStr">
        <is>
          <t>2_Actuals</t>
        </is>
      </c>
    </row>
    <row r="7">
      <c r="A7" s="3" t="inlineStr">
        <is>
          <t>4</t>
        </is>
      </c>
      <c r="B7" s="3" t="inlineStr">
        <is>
          <t>On Scorecard sheet: add formulas for Actual → Score% → Weighted for each KPI</t>
        </is>
      </c>
      <c r="C7" s="3" t="inlineStr">
        <is>
          <t>3_Scorecard</t>
        </is>
      </c>
    </row>
    <row r="8">
      <c r="A8" s="3" t="inlineStr">
        <is>
          <t>5</t>
        </is>
      </c>
      <c r="B8" s="3" t="inlineStr">
        <is>
          <t>On Bonus sheet: AVERAGE line scores, apply gatekeepers, calculate role payouts</t>
        </is>
      </c>
      <c r="C8" s="3" t="inlineStr">
        <is>
          <t>4_Bonus</t>
        </is>
      </c>
    </row>
    <row r="9">
      <c r="A9" s="3" t="inlineStr">
        <is>
          <t>6</t>
        </is>
      </c>
      <c r="B9" s="3" t="inlineStr">
        <is>
          <t>Protect green (formula) cells; leave yellow (input) cells editable</t>
        </is>
      </c>
      <c r="C9" s="3" t="inlineStr">
        <is>
          <t>All sheets</t>
        </is>
      </c>
    </row>
    <row r="10">
      <c r="A10" s="3" t="inlineStr">
        <is>
          <t>7</t>
        </is>
      </c>
      <c r="B10" s="3" t="inlineStr">
        <is>
          <t>Each month: only change yellow Actuals + Month; scores update automatically</t>
        </is>
      </c>
      <c r="C10" s="3" t="inlineStr">
        <is>
          <t>2_Actuals</t>
        </is>
      </c>
    </row>
    <row r="12">
      <c r="A12" s="4" t="inlineStr">
        <is>
          <t>Sheet list you need</t>
        </is>
      </c>
    </row>
    <row r="13">
      <c r="A13" s="5" t="inlineStr">
        <is>
          <t>Sheet name</t>
        </is>
      </c>
      <c r="B13" s="5" t="inlineStr">
        <is>
          <t>Purpose</t>
        </is>
      </c>
    </row>
    <row r="14">
      <c r="A14" s="6" t="inlineStr">
        <is>
          <t>1_Parameters</t>
        </is>
      </c>
      <c r="B14" s="6" t="inlineStr">
        <is>
          <t>All fixed settings: weights, targets, lines, bonus £, rules</t>
        </is>
      </c>
    </row>
    <row r="15">
      <c r="A15" s="6" t="inlineStr">
        <is>
          <t>2_Actuals</t>
        </is>
      </c>
      <c r="B15" s="6" t="inlineStr">
        <is>
          <t>Monthly typed data (yellow) for each machine line</t>
        </is>
      </c>
    </row>
    <row r="16">
      <c r="A16" s="6" t="inlineStr">
        <is>
          <t>3_Scorecard</t>
        </is>
      </c>
      <c r="B16" s="6" t="inlineStr">
        <is>
          <t>Calculations: Actual vs Target → Score → Weighted → Line total</t>
        </is>
      </c>
    </row>
    <row r="17">
      <c r="A17" s="6" t="inlineStr">
        <is>
          <t>4_Bonus</t>
        </is>
      </c>
      <c r="B17" s="6" t="inlineStr">
        <is>
          <t>Plant average + safety rules + money payout</t>
        </is>
      </c>
    </row>
    <row r="20">
      <c r="A20" s="4" t="inlineStr">
        <is>
          <t>Colour rules when you build the sheet</t>
        </is>
      </c>
    </row>
    <row r="21">
      <c r="A21" s="7" t="inlineStr">
        <is>
          <t>Yellow</t>
        </is>
      </c>
      <c r="B21" s="6" t="inlineStr">
        <is>
          <t>INPUT parameter / actual — user types here</t>
        </is>
      </c>
    </row>
    <row r="22">
      <c r="A22" s="8" t="inlineStr">
        <is>
          <t>Blue</t>
        </is>
      </c>
      <c r="B22" s="6" t="inlineStr">
        <is>
          <t>PARAMETER (target/weight) — change only if scheme changes</t>
        </is>
      </c>
    </row>
    <row r="23">
      <c r="A23" s="9" t="inlineStr">
        <is>
          <t>Green</t>
        </is>
      </c>
      <c r="B23" s="6" t="inlineStr">
        <is>
          <t>FORMULA — never type over these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48" customWidth="1" min="9" max="9"/>
  </cols>
  <sheetData>
    <row r="1">
      <c r="A1" s="1" t="inlineStr">
        <is>
          <t>PARAMETERS — set these once (ask manager before changing)</t>
        </is>
      </c>
    </row>
    <row r="3">
      <c r="A3" s="4" t="inlineStr">
        <is>
          <t>A) Production lines (columns on Actuals sheet)</t>
        </is>
      </c>
    </row>
    <row r="4">
      <c r="A4" s="10" t="inlineStr">
        <is>
          <t>Line code</t>
        </is>
      </c>
      <c r="B4" s="10" t="inlineStr">
        <is>
          <t>Machine name</t>
        </is>
      </c>
      <c r="C4" s="10" t="inlineStr">
        <is>
          <t>Family</t>
        </is>
      </c>
      <c r="D4" s="10" t="inlineStr">
        <is>
          <t>Include in bonus? (Yes/No)</t>
        </is>
      </c>
    </row>
    <row r="5">
      <c r="A5" s="8" t="inlineStr">
        <is>
          <t>P1</t>
        </is>
      </c>
      <c r="B5" s="8" t="inlineStr">
        <is>
          <t>Pancake machinery</t>
        </is>
      </c>
      <c r="C5" s="8" t="inlineStr">
        <is>
          <t>Pancake</t>
        </is>
      </c>
      <c r="D5" s="7" t="inlineStr">
        <is>
          <t>Yes</t>
        </is>
      </c>
    </row>
    <row r="6">
      <c r="A6" s="8" t="inlineStr">
        <is>
          <t>T1</t>
        </is>
      </c>
      <c r="B6" s="8" t="inlineStr">
        <is>
          <t>Tortilla wrap machinery</t>
        </is>
      </c>
      <c r="C6" s="8" t="inlineStr">
        <is>
          <t>Tortilla</t>
        </is>
      </c>
      <c r="D6" s="7" t="inlineStr">
        <is>
          <t>Yes</t>
        </is>
      </c>
    </row>
    <row r="7">
      <c r="A7" s="8" t="inlineStr">
        <is>
          <t>T2</t>
        </is>
      </c>
      <c r="B7" s="8" t="inlineStr">
        <is>
          <t>Tortilla wrap machinery</t>
        </is>
      </c>
      <c r="C7" s="8" t="inlineStr">
        <is>
          <t>Tortilla</t>
        </is>
      </c>
      <c r="D7" s="7" t="inlineStr">
        <is>
          <t>Yes</t>
        </is>
      </c>
    </row>
    <row r="8">
      <c r="A8" s="8" t="inlineStr">
        <is>
          <t>L8</t>
        </is>
      </c>
      <c r="B8" s="8" t="inlineStr">
        <is>
          <t>Line L8</t>
        </is>
      </c>
      <c r="C8" s="8" t="inlineStr">
        <is>
          <t>L-series</t>
        </is>
      </c>
      <c r="D8" s="7" t="inlineStr">
        <is>
          <t>Yes</t>
        </is>
      </c>
    </row>
    <row r="9">
      <c r="A9" s="8" t="inlineStr">
        <is>
          <t>L9</t>
        </is>
      </c>
      <c r="B9" s="8" t="inlineStr">
        <is>
          <t>Line L9</t>
        </is>
      </c>
      <c r="C9" s="8" t="inlineStr">
        <is>
          <t>L-series</t>
        </is>
      </c>
      <c r="D9" s="7" t="inlineStr">
        <is>
          <t>Yes</t>
        </is>
      </c>
    </row>
    <row r="11">
      <c r="A11" s="4" t="inlineStr">
        <is>
          <t>B) KPI parameters (Weight + Targets)</t>
        </is>
      </c>
    </row>
    <row r="12">
      <c r="A12" s="10" t="inlineStr">
        <is>
          <t>KPI ID</t>
        </is>
      </c>
      <c r="B12" s="10" t="inlineStr">
        <is>
          <t>KPI name</t>
        </is>
      </c>
      <c r="C12" s="10" t="inlineStr">
        <is>
          <t>Weight</t>
        </is>
      </c>
      <c r="D12" s="10" t="inlineStr">
        <is>
          <t>Direction</t>
        </is>
      </c>
      <c r="E12" s="10" t="inlineStr">
        <is>
          <t>Year1 Target</t>
        </is>
      </c>
      <c r="F12" s="10" t="inlineStr">
        <is>
          <t>Year2 Target</t>
        </is>
      </c>
      <c r="G12" s="10" t="inlineStr">
        <is>
          <t>Year3 Target</t>
        </is>
      </c>
      <c r="H12" s="10" t="inlineStr">
        <is>
          <t>Unit</t>
        </is>
      </c>
      <c r="I12" s="10" t="inlineStr">
        <is>
          <t>Score rule</t>
        </is>
      </c>
    </row>
    <row r="13">
      <c r="A13" s="3" t="inlineStr">
        <is>
          <t>OEE</t>
        </is>
      </c>
      <c r="B13" s="3" t="inlineStr">
        <is>
          <t>Overall Equipment Effectiveness</t>
        </is>
      </c>
      <c r="C13" s="11" t="n">
        <v>0.2</v>
      </c>
      <c r="D13" s="3" t="inlineStr">
        <is>
          <t>higher_better</t>
        </is>
      </c>
      <c r="E13" s="12" t="n">
        <v>82</v>
      </c>
      <c r="F13" s="12" t="n">
        <v>82</v>
      </c>
      <c r="G13" s="12" t="n">
        <v>82</v>
      </c>
      <c r="H13" s="3" t="inlineStr">
        <is>
          <t>%</t>
        </is>
      </c>
      <c r="I13" s="3" t="inlineStr">
        <is>
          <t>MIN(100, Actual/Target*100)</t>
        </is>
      </c>
    </row>
    <row r="14">
      <c r="A14" s="3" t="inlineStr">
        <is>
          <t>BF</t>
        </is>
      </c>
      <c r="B14" s="3" t="inlineStr">
        <is>
          <t>Breakdown Frequency</t>
        </is>
      </c>
      <c r="C14" s="11" t="n">
        <v>0.1</v>
      </c>
      <c r="D14" s="3" t="inlineStr">
        <is>
          <t>lower_better</t>
        </is>
      </c>
      <c r="E14" s="12" t="n">
        <v>15</v>
      </c>
      <c r="F14" s="12" t="n">
        <v>10</v>
      </c>
      <c r="G14" s="12" t="n">
        <v>10</v>
      </c>
      <c r="H14" s="3" t="inlineStr">
        <is>
          <t>count/line/month</t>
        </is>
      </c>
      <c r="I14" s="3" t="inlineStr">
        <is>
          <t>IF(Actual=0,100,MIN(100,Target/Actual*100))</t>
        </is>
      </c>
    </row>
    <row r="15">
      <c r="A15" s="3" t="inlineStr">
        <is>
          <t>BH</t>
        </is>
      </c>
      <c r="B15" s="3" t="inlineStr">
        <is>
          <t>Breakdown Hours</t>
        </is>
      </c>
      <c r="C15" s="11" t="n">
        <v>0.15</v>
      </c>
      <c r="D15" s="3" t="inlineStr">
        <is>
          <t>lower_better</t>
        </is>
      </c>
      <c r="E15" s="12" t="n">
        <v>20</v>
      </c>
      <c r="F15" s="12" t="n">
        <v>12</v>
      </c>
      <c r="G15" s="12" t="n">
        <v>5</v>
      </c>
      <c r="H15" s="3" t="inlineStr">
        <is>
          <t>hours/line/month</t>
        </is>
      </c>
      <c r="I15" s="3" t="inlineStr">
        <is>
          <t>IF(Actual=0,100,MIN(100,Target/Actual*100))</t>
        </is>
      </c>
    </row>
    <row r="16">
      <c r="A16" s="3" t="inlineStr">
        <is>
          <t>PM</t>
        </is>
      </c>
      <c r="B16" s="3" t="inlineStr">
        <is>
          <t>PM Compliance</t>
        </is>
      </c>
      <c r="C16" s="11" t="n">
        <v>0.2</v>
      </c>
      <c r="D16" s="3" t="inlineStr">
        <is>
          <t>higher_better</t>
        </is>
      </c>
      <c r="E16" s="12" t="n">
        <v>98</v>
      </c>
      <c r="F16" s="12" t="n">
        <v>98</v>
      </c>
      <c r="G16" s="12" t="n">
        <v>98</v>
      </c>
      <c r="H16" s="3" t="inlineStr">
        <is>
          <t>%</t>
        </is>
      </c>
      <c r="I16" s="3" t="inlineStr">
        <is>
          <t>MIN(100, Actual/Target*100)</t>
        </is>
      </c>
    </row>
    <row r="17">
      <c r="A17" s="3" t="inlineStr">
        <is>
          <t>MTTR</t>
        </is>
      </c>
      <c r="B17" s="3" t="inlineStr">
        <is>
          <t>Mean Time To Repair</t>
        </is>
      </c>
      <c r="C17" s="11" t="n">
        <v>0.15</v>
      </c>
      <c r="D17" s="3" t="inlineStr">
        <is>
          <t>lower_better</t>
        </is>
      </c>
      <c r="E17" s="12" t="n">
        <v>2.5</v>
      </c>
      <c r="F17" s="12" t="n">
        <v>2</v>
      </c>
      <c r="G17" s="12" t="n">
        <v>1.5</v>
      </c>
      <c r="H17" s="3" t="inlineStr">
        <is>
          <t>hours</t>
        </is>
      </c>
      <c r="I17" s="3" t="inlineStr">
        <is>
          <t>IF(Actual=0,100,MIN(100,Target/Actual*100))</t>
        </is>
      </c>
    </row>
    <row r="18">
      <c r="A18" s="3" t="inlineStr">
        <is>
          <t>MTBF</t>
        </is>
      </c>
      <c r="B18" s="3" t="inlineStr">
        <is>
          <t>Mean Time Between Failures</t>
        </is>
      </c>
      <c r="C18" s="11" t="n">
        <v>0.1</v>
      </c>
      <c r="D18" s="3" t="inlineStr">
        <is>
          <t>higher_better</t>
        </is>
      </c>
      <c r="E18" s="12" t="n">
        <v>150</v>
      </c>
      <c r="F18" s="12" t="n">
        <v>500</v>
      </c>
      <c r="G18" s="12" t="n">
        <v>1000</v>
      </c>
      <c r="H18" s="3" t="inlineStr">
        <is>
          <t>hours</t>
        </is>
      </c>
      <c r="I18" s="3" t="inlineStr">
        <is>
          <t>MIN(100, Actual/Target*100)</t>
        </is>
      </c>
    </row>
    <row r="19">
      <c r="A19" s="3" t="inlineStr">
        <is>
          <t>SAFE</t>
        </is>
      </c>
      <c r="B19" s="3" t="inlineStr">
        <is>
          <t>Safety (LTI)</t>
        </is>
      </c>
      <c r="C19" s="11" t="n">
        <v>0.1</v>
      </c>
      <c r="D19" s="3" t="inlineStr">
        <is>
          <t>zero_lti</t>
        </is>
      </c>
      <c r="E19" s="12" t="n">
        <v>0</v>
      </c>
      <c r="F19" s="12" t="n">
        <v>0</v>
      </c>
      <c r="G19" s="12" t="n">
        <v>0</v>
      </c>
      <c r="H19" s="3" t="inlineStr">
        <is>
          <t>LTI count</t>
        </is>
      </c>
      <c r="I19" s="3" t="inlineStr">
        <is>
          <t>IF(LTI=0,100,0)</t>
        </is>
      </c>
    </row>
    <row r="21">
      <c r="A21" t="inlineStr">
        <is>
          <t>Weight total (must = 100%)</t>
        </is>
      </c>
      <c r="B21" s="13">
        <f>SUM(C13:C19)</f>
        <v/>
      </c>
      <c r="C21" s="14">
        <f>IF(ABS(B21-1)&lt;0.001,"OK — weights add to 100%","ERROR — fix weights")</f>
        <v/>
      </c>
    </row>
    <row r="23">
      <c r="A23" s="4" t="inlineStr">
        <is>
          <t>C) Gatekeeper / bonus rule parameters</t>
        </is>
      </c>
    </row>
    <row r="24">
      <c r="A24" s="10" t="inlineStr">
        <is>
          <t>Rule ID</t>
        </is>
      </c>
      <c r="B24" s="10" t="inlineStr">
        <is>
          <t>Parameter name</t>
        </is>
      </c>
      <c r="C24" s="10" t="inlineStr">
        <is>
          <t>Value</t>
        </is>
      </c>
      <c r="D24" s="10" t="inlineStr">
        <is>
          <t>Meaning</t>
        </is>
      </c>
    </row>
    <row r="25">
      <c r="A25" s="6" t="inlineStr">
        <is>
          <t>CAP_KPI</t>
        </is>
      </c>
      <c r="B25" s="6" t="inlineStr">
        <is>
          <t>Max individual KPI score %</t>
        </is>
      </c>
      <c r="C25" s="8" t="n">
        <v>100</v>
      </c>
      <c r="D25" s="6" t="inlineStr">
        <is>
          <t>No KPI score above 100%</t>
        </is>
      </c>
    </row>
    <row r="26">
      <c r="A26" s="6" t="inlineStr">
        <is>
          <t>CAP_TOTAL</t>
        </is>
      </c>
      <c r="B26" s="6" t="inlineStr">
        <is>
          <t>Max overall score %</t>
        </is>
      </c>
      <c r="C26" s="8" t="n">
        <v>100</v>
      </c>
      <c r="D26" s="6" t="inlineStr">
        <is>
          <t>Overall bonus score capped at 100%</t>
        </is>
      </c>
    </row>
    <row r="27">
      <c r="A27" s="6" t="inlineStr">
        <is>
          <t>LTI_FACTOR</t>
        </is>
      </c>
      <c r="B27" s="6" t="inlineStr">
        <is>
          <t>If LTI &gt; 0, multiply bonus by</t>
        </is>
      </c>
      <c r="C27" s="15" t="n">
        <v>0.5</v>
      </c>
      <c r="D27" s="6" t="inlineStr">
        <is>
          <t>Lost Time Injury halves the bonus</t>
        </is>
      </c>
    </row>
    <row r="28">
      <c r="A28" s="6" t="inlineStr">
        <is>
          <t>RED_AUDIT</t>
        </is>
      </c>
      <c r="B28" s="6" t="inlineStr">
        <is>
          <t>If red audit, multiply bonus by</t>
        </is>
      </c>
      <c r="C28" s="15" t="n">
        <v>0.5</v>
      </c>
      <c r="D28" s="6" t="inlineStr">
        <is>
          <t>Red audit halves the bonus</t>
        </is>
      </c>
    </row>
    <row r="29">
      <c r="A29" s="6" t="inlineStr">
        <is>
          <t>MAJOR_SAFETY</t>
        </is>
      </c>
      <c r="B29" s="6" t="inlineStr">
        <is>
          <t>Major safety violation → bonus %</t>
        </is>
      </c>
      <c r="C29" s="8" t="n">
        <v>0</v>
      </c>
      <c r="D29" s="6" t="inlineStr">
        <is>
          <t>Bonus stops</t>
        </is>
      </c>
    </row>
    <row r="30">
      <c r="A30" s="6" t="inlineStr">
        <is>
          <t>MAJOR_EPW</t>
        </is>
      </c>
      <c r="B30" s="6" t="inlineStr">
        <is>
          <t>Major EPW → bonus %</t>
        </is>
      </c>
      <c r="C30" s="8" t="n">
        <v>0</v>
      </c>
      <c r="D30" s="6" t="inlineStr">
        <is>
          <t>Bonus stops</t>
        </is>
      </c>
    </row>
    <row r="31">
      <c r="A31" s="6" t="inlineStr">
        <is>
          <t>DISHONEST</t>
        </is>
      </c>
      <c r="B31" s="6" t="inlineStr">
        <is>
          <t>Dishonest reporting → bonus %</t>
        </is>
      </c>
      <c r="C31" s="8" t="n">
        <v>0</v>
      </c>
      <c r="D31" s="6" t="inlineStr">
        <is>
          <t>Bonus stops</t>
        </is>
      </c>
    </row>
    <row r="32">
      <c r="A32" s="6" t="inlineStr">
        <is>
          <t>GREEN_AUDIT</t>
        </is>
      </c>
      <c r="B32" s="6" t="inlineStr">
        <is>
          <t>Green audit extra reward?</t>
        </is>
      </c>
      <c r="C32" s="8" t="inlineStr">
        <is>
          <t>YES</t>
        </is>
      </c>
      <c r="D32" s="6" t="inlineStr">
        <is>
          <t>Confirm £ amount with manager</t>
        </is>
      </c>
    </row>
    <row r="35">
      <c r="A35" s="4" t="inlineStr">
        <is>
          <t>D) Monthly bonus opportunity parameters (£)</t>
        </is>
      </c>
    </row>
    <row r="36">
      <c r="A36" s="10" t="inlineStr">
        <is>
          <t>Shift</t>
        </is>
      </c>
      <c r="B36" s="10" t="inlineStr">
        <is>
          <t>Role</t>
        </is>
      </c>
      <c r="C36" s="10" t="inlineStr">
        <is>
          <t>Opportunity £</t>
        </is>
      </c>
    </row>
    <row r="37">
      <c r="A37" s="6" t="inlineStr">
        <is>
          <t>Day</t>
        </is>
      </c>
      <c r="B37" s="6" t="inlineStr">
        <is>
          <t>Head of department</t>
        </is>
      </c>
      <c r="C37" s="16" t="n">
        <v>1235</v>
      </c>
    </row>
    <row r="38">
      <c r="A38" s="6" t="inlineStr">
        <is>
          <t>Day</t>
        </is>
      </c>
      <c r="B38" s="6" t="inlineStr">
        <is>
          <t>Managers</t>
        </is>
      </c>
      <c r="C38" s="16" t="n">
        <v>918</v>
      </c>
    </row>
    <row r="39">
      <c r="A39" s="6" t="inlineStr">
        <is>
          <t>Day</t>
        </is>
      </c>
      <c r="B39" s="6" t="inlineStr">
        <is>
          <t>Team leaders</t>
        </is>
      </c>
      <c r="C39" s="16" t="n">
        <v>810</v>
      </c>
    </row>
    <row r="40">
      <c r="A40" s="6" t="inlineStr">
        <is>
          <t>Day</t>
        </is>
      </c>
      <c r="B40" s="6" t="inlineStr">
        <is>
          <t>Multi-skilled</t>
        </is>
      </c>
      <c r="C40" s="16" t="n">
        <v>486</v>
      </c>
    </row>
    <row r="41">
      <c r="A41" s="6" t="inlineStr">
        <is>
          <t>Day</t>
        </is>
      </c>
      <c r="B41" s="6" t="inlineStr">
        <is>
          <t>Mech / Elec / Maint eng / Control / Electrician</t>
        </is>
      </c>
      <c r="C41" s="16" t="n">
        <v>324</v>
      </c>
    </row>
    <row r="42">
      <c r="A42" s="6" t="inlineStr">
        <is>
          <t>Day</t>
        </is>
      </c>
      <c r="B42" s="6" t="inlineStr">
        <is>
          <t>Handyman / Electrician mate</t>
        </is>
      </c>
      <c r="C42" s="16" t="n">
        <v>243</v>
      </c>
    </row>
    <row r="43">
      <c r="A43" s="6" t="inlineStr">
        <is>
          <t>Night</t>
        </is>
      </c>
      <c r="B43" s="6" t="inlineStr">
        <is>
          <t>Team leaders</t>
        </is>
      </c>
      <c r="C43" s="16" t="n">
        <v>1020</v>
      </c>
    </row>
    <row r="44">
      <c r="A44" s="6" t="inlineStr">
        <is>
          <t>Night</t>
        </is>
      </c>
      <c r="B44" s="6" t="inlineStr">
        <is>
          <t>Multi-skilled</t>
        </is>
      </c>
      <c r="C44" s="16" t="n">
        <v>900</v>
      </c>
    </row>
    <row r="45">
      <c r="A45" s="6" t="inlineStr">
        <is>
          <t>Night</t>
        </is>
      </c>
      <c r="B45" s="6" t="inlineStr">
        <is>
          <t>Mech / Elec / Maint eng / Control / Electrician</t>
        </is>
      </c>
      <c r="C45" s="16" t="n">
        <v>540</v>
      </c>
    </row>
    <row r="46">
      <c r="A46" s="6" t="inlineStr">
        <is>
          <t>Night</t>
        </is>
      </c>
      <c r="B46" s="6" t="inlineStr">
        <is>
          <t>Handyman / Electrician mate</t>
        </is>
      </c>
      <c r="C46" s="16" t="n">
        <v>360</v>
      </c>
    </row>
    <row r="47">
      <c r="A47" s="6" t="inlineStr">
        <is>
          <t>Night</t>
        </is>
      </c>
      <c r="B47" s="6" t="inlineStr">
        <is>
          <t>Junior / mate</t>
        </is>
      </c>
      <c r="C47" s="16" t="n">
        <v>270</v>
      </c>
    </row>
    <row r="50">
      <c r="A50" s="4" t="inlineStr">
        <is>
          <t>E) Report parameters</t>
        </is>
      </c>
    </row>
    <row r="51">
      <c r="A51" s="6" t="inlineStr">
        <is>
          <t>Company</t>
        </is>
      </c>
      <c r="B51" s="8" t="inlineStr">
        <is>
          <t>Signature Flatbreads</t>
        </is>
      </c>
    </row>
    <row r="52">
      <c r="A52" s="6" t="inlineStr">
        <is>
          <t>Scheme version</t>
        </is>
      </c>
      <c r="B52" s="8" t="inlineStr">
        <is>
          <t>V2</t>
        </is>
      </c>
    </row>
    <row r="53">
      <c r="A53" s="6" t="inlineStr">
        <is>
          <t>Active target year</t>
        </is>
      </c>
      <c r="B53" s="7" t="n">
        <v>1</v>
      </c>
    </row>
    <row r="54">
      <c r="A54" s="6" t="inlineStr">
        <is>
          <t>Currency</t>
        </is>
      </c>
      <c r="B54" s="8" t="inlineStr">
        <is>
          <t>GBP £</t>
        </is>
      </c>
    </row>
    <row r="55">
      <c r="A55" s="6" t="inlineStr">
        <is>
          <t>Plant score method</t>
        </is>
      </c>
      <c r="B55" s="8" t="inlineStr">
        <is>
          <t>AVERAGE of line scores</t>
        </is>
      </c>
    </row>
    <row r="57">
      <c r="A57" s="17" t="inlineStr">
        <is>
          <t>Tip: Scorecard formulas should read Year1 targets from E13:E19 and weights from C13:C19 so one change updates all lines.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ACTUALS — create one column per line; type only yellow cells each month</t>
        </is>
      </c>
    </row>
    <row r="2">
      <c r="A2" t="inlineStr">
        <is>
          <t>Month (YYYY-MM)</t>
        </is>
      </c>
      <c r="B2" s="18" t="inlineStr">
        <is>
          <t>2026-07</t>
        </is>
      </c>
      <c r="C2" t="inlineStr">
        <is>
          <t>← change this every month</t>
        </is>
      </c>
    </row>
    <row r="4">
      <c r="A4" s="10" t="inlineStr">
        <is>
          <t>Parameter (what to enter)</t>
        </is>
      </c>
      <c r="B4" s="10" t="inlineStr">
        <is>
          <t>Where to get it</t>
        </is>
      </c>
      <c r="C4" s="10" t="inlineStr">
        <is>
          <t>P1</t>
        </is>
      </c>
      <c r="D4" s="10" t="inlineStr">
        <is>
          <t>T1</t>
        </is>
      </c>
      <c r="E4" s="10" t="inlineStr">
        <is>
          <t>T2</t>
        </is>
      </c>
      <c r="F4" s="10" t="inlineStr">
        <is>
          <t>L8</t>
        </is>
      </c>
      <c r="G4" s="10" t="inlineStr">
        <is>
          <t>L9</t>
        </is>
      </c>
    </row>
    <row r="5">
      <c r="A5" t="inlineStr">
        <is>
          <t>Line name (auto from Parameters)</t>
        </is>
      </c>
      <c r="B5" t="inlineStr">
        <is>
          <t>Parameters sheet</t>
        </is>
      </c>
      <c r="C5" s="9">
        <f>1_Parameters!B5</f>
        <v/>
      </c>
      <c r="D5" s="9">
        <f>1_Parameters!B6</f>
        <v/>
      </c>
      <c r="E5" s="9">
        <f>1_Parameters!B7</f>
        <v/>
      </c>
      <c r="F5" s="9">
        <f>1_Parameters!B8</f>
        <v/>
      </c>
      <c r="G5" s="9">
        <f>1_Parameters!B9</f>
        <v/>
      </c>
    </row>
    <row r="6">
      <c r="A6" s="6" t="inlineStr">
        <is>
          <t>Planned production hours</t>
        </is>
      </c>
      <c r="B6" s="6" t="inlineStr">
        <is>
          <t>Production plan / Excel</t>
        </is>
      </c>
      <c r="C6" s="19" t="n">
        <v>0</v>
      </c>
      <c r="D6" s="19" t="n">
        <v>0</v>
      </c>
      <c r="E6" s="19" t="n">
        <v>0</v>
      </c>
      <c r="F6" s="19" t="n">
        <v>0</v>
      </c>
      <c r="G6" s="19" t="n">
        <v>0</v>
      </c>
    </row>
    <row r="7">
      <c r="A7" s="6" t="inlineStr">
        <is>
          <t>Actual operating hours</t>
        </is>
      </c>
      <c r="B7" s="6" t="inlineStr">
        <is>
          <t>Line log / Excel</t>
        </is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</row>
    <row r="8">
      <c r="A8" s="6" t="inlineStr">
        <is>
          <t>Ideal rate (units per hour)</t>
        </is>
      </c>
      <c r="B8" s="6" t="inlineStr">
        <is>
          <t>Engineering standard</t>
        </is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</row>
    <row r="9">
      <c r="A9" s="6" t="inlineStr">
        <is>
          <t>Actual output units</t>
        </is>
      </c>
      <c r="B9" s="6" t="inlineStr">
        <is>
          <t>Production count</t>
        </is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</row>
    <row r="10">
      <c r="A10" s="6" t="inlineStr">
        <is>
          <t>Good units (quality OK)</t>
        </is>
      </c>
      <c r="B10" s="6" t="inlineStr">
        <is>
          <t>Quality / scrap log</t>
        </is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</row>
    <row r="11">
      <c r="A11" s="6" t="inlineStr">
        <is>
          <t>Breakdown count</t>
        </is>
      </c>
      <c r="B11" s="6" t="inlineStr">
        <is>
          <t>Teams + Maintainer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</row>
    <row r="12">
      <c r="A12" s="6" t="inlineStr">
        <is>
          <t>Breakdown hours</t>
        </is>
      </c>
      <c r="B12" s="6" t="inlineStr">
        <is>
          <t>Excel downtime start→end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</row>
    <row r="13">
      <c r="A13" s="6" t="inlineStr">
        <is>
          <t>Planned PM jobs</t>
        </is>
      </c>
      <c r="B13" s="6" t="inlineStr">
        <is>
          <t>Maintainer</t>
        </is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</row>
    <row r="14">
      <c r="A14" s="6" t="inlineStr">
        <is>
          <t>Completed PM on time</t>
        </is>
      </c>
      <c r="B14" s="6" t="inlineStr">
        <is>
          <t>Maintainer completion date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</row>
    <row r="15">
      <c r="A15" s="6" t="inlineStr">
        <is>
          <t>Operational hours (for MTBF)</t>
        </is>
      </c>
      <c r="B15" s="6" t="inlineStr">
        <is>
          <t>Excel runtime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</row>
    <row r="16">
      <c r="A16" s="6" t="inlineStr">
        <is>
          <t>LTI count</t>
        </is>
      </c>
      <c r="B16" s="6" t="inlineStr">
        <is>
          <t>H&amp;S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</row>
    <row r="17">
      <c r="A17" s="6" t="inlineStr">
        <is>
          <t>Major safety violation (0 or 1)</t>
        </is>
      </c>
      <c r="B17" s="6" t="inlineStr">
        <is>
          <t>H&amp;S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</row>
    <row r="18">
      <c r="A18" s="6" t="inlineStr">
        <is>
          <t>Major EPW (0 or 1)</t>
        </is>
      </c>
      <c r="B18" s="6" t="inlineStr">
        <is>
          <t>Operations / H&amp;S</t>
        </is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</row>
    <row r="19">
      <c r="A19" s="6" t="inlineStr">
        <is>
          <t>Dishonest reporting (0 or 1)</t>
        </is>
      </c>
      <c r="B19" s="6" t="inlineStr">
        <is>
          <t>Management</t>
        </is>
      </c>
      <c r="C19" s="19" t="n">
        <v>0</v>
      </c>
      <c r="D19" s="19" t="n">
        <v>0</v>
      </c>
      <c r="E19" s="19" t="n">
        <v>0</v>
      </c>
      <c r="F19" s="19" t="n">
        <v>0</v>
      </c>
      <c r="G19" s="19" t="n">
        <v>0</v>
      </c>
    </row>
    <row r="20">
      <c r="A20" s="6" t="inlineStr">
        <is>
          <t>Audit result</t>
        </is>
      </c>
      <c r="B20" s="6" t="inlineStr">
        <is>
          <t>Audit team (green/amber/red)</t>
        </is>
      </c>
      <c r="C20" s="19" t="inlineStr"/>
      <c r="D20" s="19" t="inlineStr"/>
      <c r="E20" s="19" t="inlineStr"/>
      <c r="F20" s="19" t="inlineStr"/>
      <c r="G20" s="19" t="inlineStr"/>
    </row>
    <row r="22">
      <c r="A22" s="4" t="inlineStr">
        <is>
          <t>How to create this Actuals layout yourself</t>
        </is>
      </c>
    </row>
    <row r="23">
      <c r="A23" t="inlineStr">
        <is>
          <t>1. Row 1–2: title + Month parameter</t>
        </is>
      </c>
    </row>
    <row r="24">
      <c r="A24" t="inlineStr">
        <is>
          <t>2. Row 4: headers = Line codes from Parameters (P1, T1, T2, L8, L9)</t>
        </is>
      </c>
    </row>
    <row r="25">
      <c r="A25" t="inlineStr">
        <is>
          <t>3. Rows 6–20: one parameter per row (list above) — these are your INPUT PARAMETERS</t>
        </is>
      </c>
    </row>
    <row r="26">
      <c r="A26" t="inlineStr">
        <is>
          <t>4. Paint input cells yellow; leave formulas green on Scorecard</t>
        </is>
      </c>
    </row>
    <row r="27">
      <c r="A27" t="inlineStr">
        <is>
          <t>5. Add Data Validation dropdowns for Audit (green/amber/red) and 0/1 flags</t>
        </is>
      </c>
    </row>
    <row r="28">
      <c r="A28" t="inlineStr">
        <is>
          <t>6. Optional: start from sample file Excel_KPI_Calculator.xlsx which already has formulas filled</t>
        </is>
      </c>
    </row>
  </sheetData>
  <mergeCells count="1">
    <mergeCell ref="A1:G1"/>
  </mergeCells>
  <dataValidations count="2">
    <dataValidation sqref="C20:G20" showDropDown="0" showInputMessage="0" showErrorMessage="0" allowBlank="1" errorTitle="Audit result" error="Choose green, amber, or red" type="list">
      <formula1>"green,amber,red"</formula1>
    </dataValidation>
    <dataValidation sqref="C17:G19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SCORECARD — formulas use Parameters (weights/targets) + Actuals</t>
        </is>
      </c>
    </row>
    <row r="2">
      <c r="A2" t="inlineStr">
        <is>
          <t>Month</t>
        </is>
      </c>
      <c r="B2" s="14">
        <f>2_Actuals!B2</f>
        <v/>
      </c>
    </row>
    <row r="3">
      <c r="C3" s="20" t="inlineStr">
        <is>
          <t>P1</t>
        </is>
      </c>
      <c r="G3" s="20" t="inlineStr">
        <is>
          <t>T1</t>
        </is>
      </c>
      <c r="K3" s="20" t="inlineStr">
        <is>
          <t>T2</t>
        </is>
      </c>
      <c r="O3" s="20" t="inlineStr">
        <is>
          <t>L8</t>
        </is>
      </c>
      <c r="S3" s="20" t="inlineStr">
        <is>
          <t>L9</t>
        </is>
      </c>
    </row>
    <row r="4">
      <c r="A4" s="21" t="inlineStr">
        <is>
          <t>KPI</t>
        </is>
      </c>
      <c r="B4" s="21" t="inlineStr">
        <is>
          <t>Weight</t>
        </is>
      </c>
      <c r="C4" s="10" t="inlineStr">
        <is>
          <t>Actual</t>
        </is>
      </c>
      <c r="D4" s="10" t="inlineStr">
        <is>
          <t>Target</t>
        </is>
      </c>
      <c r="E4" s="10" t="inlineStr">
        <is>
          <t>Score %</t>
        </is>
      </c>
      <c r="F4" s="10" t="inlineStr">
        <is>
          <t>Weighted</t>
        </is>
      </c>
      <c r="G4" s="10" t="inlineStr">
        <is>
          <t>Actual</t>
        </is>
      </c>
      <c r="H4" s="10" t="inlineStr">
        <is>
          <t>Target</t>
        </is>
      </c>
      <c r="I4" s="10" t="inlineStr">
        <is>
          <t>Score %</t>
        </is>
      </c>
      <c r="J4" s="10" t="inlineStr">
        <is>
          <t>Weighted</t>
        </is>
      </c>
      <c r="K4" s="10" t="inlineStr">
        <is>
          <t>Actual</t>
        </is>
      </c>
      <c r="L4" s="10" t="inlineStr">
        <is>
          <t>Target</t>
        </is>
      </c>
      <c r="M4" s="10" t="inlineStr">
        <is>
          <t>Score %</t>
        </is>
      </c>
      <c r="N4" s="10" t="inlineStr">
        <is>
          <t>Weighted</t>
        </is>
      </c>
      <c r="O4" s="10" t="inlineStr">
        <is>
          <t>Actual</t>
        </is>
      </c>
      <c r="P4" s="10" t="inlineStr">
        <is>
          <t>Target</t>
        </is>
      </c>
      <c r="Q4" s="10" t="inlineStr">
        <is>
          <t>Score %</t>
        </is>
      </c>
      <c r="R4" s="10" t="inlineStr">
        <is>
          <t>Weighted</t>
        </is>
      </c>
      <c r="S4" s="10" t="inlineStr">
        <is>
          <t>Actual</t>
        </is>
      </c>
      <c r="T4" s="10" t="inlineStr">
        <is>
          <t>Target</t>
        </is>
      </c>
      <c r="U4" s="10" t="inlineStr">
        <is>
          <t>Score %</t>
        </is>
      </c>
      <c r="V4" s="10" t="inlineStr">
        <is>
          <t>Weighted</t>
        </is>
      </c>
    </row>
    <row r="5">
      <c r="A5" s="6" t="inlineStr">
        <is>
          <t>OEE %</t>
        </is>
      </c>
      <c r="B5" s="13">
        <f>'1_Parameters'!C13</f>
        <v/>
      </c>
      <c r="C5" s="22">
        <f>IF(2_Actuals!C6=0,0,((2_Actuals!C7/2_Actuals!C6)*((2_Actuals!C9/2_Actuals!C7)/2_Actuals!C8)*(2_Actuals!C10/2_Actuals!C9))*100)</f>
        <v/>
      </c>
      <c r="D5" s="23">
        <f>'1_Parameters'!E13</f>
        <v/>
      </c>
      <c r="E5" s="24">
        <f>IF(D5=0,0,MIN(1_Parameters!$C$25,C5/D5*100))</f>
        <v/>
      </c>
      <c r="F5" s="22">
        <f>E5*$B5</f>
        <v/>
      </c>
      <c r="G5" s="22">
        <f>IF(2_Actuals!D6=0,0,((2_Actuals!D7/2_Actuals!D6)*((2_Actuals!D9/2_Actuals!D7)/2_Actuals!D8)*(2_Actuals!D10/2_Actuals!D9))*100)</f>
        <v/>
      </c>
      <c r="H5" s="23">
        <f>'1_Parameters'!E13</f>
        <v/>
      </c>
      <c r="I5" s="24">
        <f>IF(H5=0,0,MIN(1_Parameters!$C$25,G5/H5*100))</f>
        <v/>
      </c>
      <c r="J5" s="22">
        <f>I5*$B5</f>
        <v/>
      </c>
      <c r="K5" s="22">
        <f>IF(2_Actuals!E6=0,0,((2_Actuals!E7/2_Actuals!E6)*((2_Actuals!E9/2_Actuals!E7)/2_Actuals!E8)*(2_Actuals!E10/2_Actuals!E9))*100)</f>
        <v/>
      </c>
      <c r="L5" s="23">
        <f>'1_Parameters'!E13</f>
        <v/>
      </c>
      <c r="M5" s="24">
        <f>IF(L5=0,0,MIN(1_Parameters!$C$25,K5/L5*100))</f>
        <v/>
      </c>
      <c r="N5" s="22">
        <f>M5*$B5</f>
        <v/>
      </c>
      <c r="O5" s="22">
        <f>IF(2_Actuals!F6=0,0,((2_Actuals!F7/2_Actuals!F6)*((2_Actuals!F9/2_Actuals!F7)/2_Actuals!F8)*(2_Actuals!F10/2_Actuals!F9))*100)</f>
        <v/>
      </c>
      <c r="P5" s="23">
        <f>'1_Parameters'!E13</f>
        <v/>
      </c>
      <c r="Q5" s="24">
        <f>IF(P5=0,0,MIN(1_Parameters!$C$25,O5/P5*100))</f>
        <v/>
      </c>
      <c r="R5" s="22">
        <f>Q5*$B5</f>
        <v/>
      </c>
      <c r="S5" s="22">
        <f>IF(2_Actuals!G6=0,0,((2_Actuals!G7/2_Actuals!G6)*((2_Actuals!G9/2_Actuals!G7)/2_Actuals!G8)*(2_Actuals!G10/2_Actuals!G9))*100)</f>
        <v/>
      </c>
      <c r="T5" s="23">
        <f>'1_Parameters'!E13</f>
        <v/>
      </c>
      <c r="U5" s="24">
        <f>IF(T5=0,0,MIN(1_Parameters!$C$25,S5/T5*100))</f>
        <v/>
      </c>
      <c r="V5" s="22">
        <f>U5*$B5</f>
        <v/>
      </c>
    </row>
    <row r="6">
      <c r="A6" s="6" t="inlineStr">
        <is>
          <t>Breakdown Frequency</t>
        </is>
      </c>
      <c r="B6" s="13">
        <f>'1_Parameters'!C14</f>
        <v/>
      </c>
      <c r="C6" s="22">
        <f>2_Actuals!C11</f>
        <v/>
      </c>
      <c r="D6" s="23">
        <f>'1_Parameters'!E14</f>
        <v/>
      </c>
      <c r="E6" s="24">
        <f>IF(C6=0,100,MIN(1_Parameters!$C$25,D6/C6*100))</f>
        <v/>
      </c>
      <c r="F6" s="22">
        <f>E6*$B6</f>
        <v/>
      </c>
      <c r="G6" s="22">
        <f>2_Actuals!D11</f>
        <v/>
      </c>
      <c r="H6" s="23">
        <f>'1_Parameters'!E14</f>
        <v/>
      </c>
      <c r="I6" s="24">
        <f>IF(G6=0,100,MIN(1_Parameters!$C$25,H6/G6*100))</f>
        <v/>
      </c>
      <c r="J6" s="22">
        <f>I6*$B6</f>
        <v/>
      </c>
      <c r="K6" s="22">
        <f>2_Actuals!E11</f>
        <v/>
      </c>
      <c r="L6" s="23">
        <f>'1_Parameters'!E14</f>
        <v/>
      </c>
      <c r="M6" s="24">
        <f>IF(K6=0,100,MIN(1_Parameters!$C$25,L6/K6*100))</f>
        <v/>
      </c>
      <c r="N6" s="22">
        <f>M6*$B6</f>
        <v/>
      </c>
      <c r="O6" s="22">
        <f>2_Actuals!F11</f>
        <v/>
      </c>
      <c r="P6" s="23">
        <f>'1_Parameters'!E14</f>
        <v/>
      </c>
      <c r="Q6" s="24">
        <f>IF(O6=0,100,MIN(1_Parameters!$C$25,P6/O6*100))</f>
        <v/>
      </c>
      <c r="R6" s="22">
        <f>Q6*$B6</f>
        <v/>
      </c>
      <c r="S6" s="22">
        <f>2_Actuals!G11</f>
        <v/>
      </c>
      <c r="T6" s="23">
        <f>'1_Parameters'!E14</f>
        <v/>
      </c>
      <c r="U6" s="24">
        <f>IF(S6=0,100,MIN(1_Parameters!$C$25,T6/S6*100))</f>
        <v/>
      </c>
      <c r="V6" s="22">
        <f>U6*$B6</f>
        <v/>
      </c>
    </row>
    <row r="7">
      <c r="A7" s="6" t="inlineStr">
        <is>
          <t>Breakdown Hours</t>
        </is>
      </c>
      <c r="B7" s="13">
        <f>'1_Parameters'!C15</f>
        <v/>
      </c>
      <c r="C7" s="22">
        <f>2_Actuals!C12</f>
        <v/>
      </c>
      <c r="D7" s="23">
        <f>'1_Parameters'!E15</f>
        <v/>
      </c>
      <c r="E7" s="24">
        <f>IF(C7=0,100,MIN(1_Parameters!$C$25,D7/C7*100))</f>
        <v/>
      </c>
      <c r="F7" s="22">
        <f>E7*$B7</f>
        <v/>
      </c>
      <c r="G7" s="22">
        <f>2_Actuals!D12</f>
        <v/>
      </c>
      <c r="H7" s="23">
        <f>'1_Parameters'!E15</f>
        <v/>
      </c>
      <c r="I7" s="24">
        <f>IF(G7=0,100,MIN(1_Parameters!$C$25,H7/G7*100))</f>
        <v/>
      </c>
      <c r="J7" s="22">
        <f>I7*$B7</f>
        <v/>
      </c>
      <c r="K7" s="22">
        <f>2_Actuals!E12</f>
        <v/>
      </c>
      <c r="L7" s="23">
        <f>'1_Parameters'!E15</f>
        <v/>
      </c>
      <c r="M7" s="24">
        <f>IF(K7=0,100,MIN(1_Parameters!$C$25,L7/K7*100))</f>
        <v/>
      </c>
      <c r="N7" s="22">
        <f>M7*$B7</f>
        <v/>
      </c>
      <c r="O7" s="22">
        <f>2_Actuals!F12</f>
        <v/>
      </c>
      <c r="P7" s="23">
        <f>'1_Parameters'!E15</f>
        <v/>
      </c>
      <c r="Q7" s="24">
        <f>IF(O7=0,100,MIN(1_Parameters!$C$25,P7/O7*100))</f>
        <v/>
      </c>
      <c r="R7" s="22">
        <f>Q7*$B7</f>
        <v/>
      </c>
      <c r="S7" s="22">
        <f>2_Actuals!G12</f>
        <v/>
      </c>
      <c r="T7" s="23">
        <f>'1_Parameters'!E15</f>
        <v/>
      </c>
      <c r="U7" s="24">
        <f>IF(S7=0,100,MIN(1_Parameters!$C$25,T7/S7*100))</f>
        <v/>
      </c>
      <c r="V7" s="22">
        <f>U7*$B7</f>
        <v/>
      </c>
    </row>
    <row r="8">
      <c r="A8" s="6" t="inlineStr">
        <is>
          <t>PM Compliance %</t>
        </is>
      </c>
      <c r="B8" s="13">
        <f>'1_Parameters'!C16</f>
        <v/>
      </c>
      <c r="C8" s="22">
        <f>IF(2_Actuals!C13=0,0,2_Actuals!C14/2_Actuals!C13*100)</f>
        <v/>
      </c>
      <c r="D8" s="23">
        <f>'1_Parameters'!E16</f>
        <v/>
      </c>
      <c r="E8" s="24">
        <f>IF(D8=0,0,MIN(1_Parameters!$C$25,C8/D8*100))</f>
        <v/>
      </c>
      <c r="F8" s="22">
        <f>E8*$B8</f>
        <v/>
      </c>
      <c r="G8" s="22">
        <f>IF(2_Actuals!D13=0,0,2_Actuals!D14/2_Actuals!D13*100)</f>
        <v/>
      </c>
      <c r="H8" s="23">
        <f>'1_Parameters'!E16</f>
        <v/>
      </c>
      <c r="I8" s="24">
        <f>IF(H8=0,0,MIN(1_Parameters!$C$25,G8/H8*100))</f>
        <v/>
      </c>
      <c r="J8" s="22">
        <f>I8*$B8</f>
        <v/>
      </c>
      <c r="K8" s="22">
        <f>IF(2_Actuals!E13=0,0,2_Actuals!E14/2_Actuals!E13*100)</f>
        <v/>
      </c>
      <c r="L8" s="23">
        <f>'1_Parameters'!E16</f>
        <v/>
      </c>
      <c r="M8" s="24">
        <f>IF(L8=0,0,MIN(1_Parameters!$C$25,K8/L8*100))</f>
        <v/>
      </c>
      <c r="N8" s="22">
        <f>M8*$B8</f>
        <v/>
      </c>
      <c r="O8" s="22">
        <f>IF(2_Actuals!F13=0,0,2_Actuals!F14/2_Actuals!F13*100)</f>
        <v/>
      </c>
      <c r="P8" s="23">
        <f>'1_Parameters'!E16</f>
        <v/>
      </c>
      <c r="Q8" s="24">
        <f>IF(P8=0,0,MIN(1_Parameters!$C$25,O8/P8*100))</f>
        <v/>
      </c>
      <c r="R8" s="22">
        <f>Q8*$B8</f>
        <v/>
      </c>
      <c r="S8" s="22">
        <f>IF(2_Actuals!G13=0,0,2_Actuals!G14/2_Actuals!G13*100)</f>
        <v/>
      </c>
      <c r="T8" s="23">
        <f>'1_Parameters'!E16</f>
        <v/>
      </c>
      <c r="U8" s="24">
        <f>IF(T8=0,0,MIN(1_Parameters!$C$25,S8/T8*100))</f>
        <v/>
      </c>
      <c r="V8" s="22">
        <f>U8*$B8</f>
        <v/>
      </c>
    </row>
    <row r="9">
      <c r="A9" s="6" t="inlineStr">
        <is>
          <t>MTTR hours</t>
        </is>
      </c>
      <c r="B9" s="13">
        <f>'1_Parameters'!C17</f>
        <v/>
      </c>
      <c r="C9" s="22">
        <f>IF(2_Actuals!C11=0,0,2_Actuals!C12/2_Actuals!C11)</f>
        <v/>
      </c>
      <c r="D9" s="23">
        <f>'1_Parameters'!E17</f>
        <v/>
      </c>
      <c r="E9" s="24">
        <f>IF(C9=0,100,MIN(1_Parameters!$C$25,D9/C9*100))</f>
        <v/>
      </c>
      <c r="F9" s="22">
        <f>E9*$B9</f>
        <v/>
      </c>
      <c r="G9" s="22">
        <f>IF(2_Actuals!D11=0,0,2_Actuals!D12/2_Actuals!D11)</f>
        <v/>
      </c>
      <c r="H9" s="23">
        <f>'1_Parameters'!E17</f>
        <v/>
      </c>
      <c r="I9" s="24">
        <f>IF(G9=0,100,MIN(1_Parameters!$C$25,H9/G9*100))</f>
        <v/>
      </c>
      <c r="J9" s="22">
        <f>I9*$B9</f>
        <v/>
      </c>
      <c r="K9" s="22">
        <f>IF(2_Actuals!E11=0,0,2_Actuals!E12/2_Actuals!E11)</f>
        <v/>
      </c>
      <c r="L9" s="23">
        <f>'1_Parameters'!E17</f>
        <v/>
      </c>
      <c r="M9" s="24">
        <f>IF(K9=0,100,MIN(1_Parameters!$C$25,L9/K9*100))</f>
        <v/>
      </c>
      <c r="N9" s="22">
        <f>M9*$B9</f>
        <v/>
      </c>
      <c r="O9" s="22">
        <f>IF(2_Actuals!F11=0,0,2_Actuals!F12/2_Actuals!F11)</f>
        <v/>
      </c>
      <c r="P9" s="23">
        <f>'1_Parameters'!E17</f>
        <v/>
      </c>
      <c r="Q9" s="24">
        <f>IF(O9=0,100,MIN(1_Parameters!$C$25,P9/O9*100))</f>
        <v/>
      </c>
      <c r="R9" s="22">
        <f>Q9*$B9</f>
        <v/>
      </c>
      <c r="S9" s="22">
        <f>IF(2_Actuals!G11=0,0,2_Actuals!G12/2_Actuals!G11)</f>
        <v/>
      </c>
      <c r="T9" s="23">
        <f>'1_Parameters'!E17</f>
        <v/>
      </c>
      <c r="U9" s="24">
        <f>IF(S9=0,100,MIN(1_Parameters!$C$25,T9/S9*100))</f>
        <v/>
      </c>
      <c r="V9" s="22">
        <f>U9*$B9</f>
        <v/>
      </c>
    </row>
    <row r="10">
      <c r="A10" s="6" t="inlineStr">
        <is>
          <t>MTBF hours</t>
        </is>
      </c>
      <c r="B10" s="13">
        <f>'1_Parameters'!C18</f>
        <v/>
      </c>
      <c r="C10" s="22">
        <f>IF(2_Actuals!C11=0,2_Actuals!C15,2_Actuals!C15/2_Actuals!C11)</f>
        <v/>
      </c>
      <c r="D10" s="23">
        <f>'1_Parameters'!E18</f>
        <v/>
      </c>
      <c r="E10" s="24">
        <f>IF(D10=0,0,MIN(1_Parameters!$C$25,C10/D10*100))</f>
        <v/>
      </c>
      <c r="F10" s="22">
        <f>E10*$B10</f>
        <v/>
      </c>
      <c r="G10" s="22">
        <f>IF(2_Actuals!D11=0,2_Actuals!D15,2_Actuals!D15/2_Actuals!D11)</f>
        <v/>
      </c>
      <c r="H10" s="23">
        <f>'1_Parameters'!E18</f>
        <v/>
      </c>
      <c r="I10" s="24">
        <f>IF(H10=0,0,MIN(1_Parameters!$C$25,G10/H10*100))</f>
        <v/>
      </c>
      <c r="J10" s="22">
        <f>I10*$B10</f>
        <v/>
      </c>
      <c r="K10" s="22">
        <f>IF(2_Actuals!E11=0,2_Actuals!E15,2_Actuals!E15/2_Actuals!E11)</f>
        <v/>
      </c>
      <c r="L10" s="23">
        <f>'1_Parameters'!E18</f>
        <v/>
      </c>
      <c r="M10" s="24">
        <f>IF(L10=0,0,MIN(1_Parameters!$C$25,K10/L10*100))</f>
        <v/>
      </c>
      <c r="N10" s="22">
        <f>M10*$B10</f>
        <v/>
      </c>
      <c r="O10" s="22">
        <f>IF(2_Actuals!F11=0,2_Actuals!F15,2_Actuals!F15/2_Actuals!F11)</f>
        <v/>
      </c>
      <c r="P10" s="23">
        <f>'1_Parameters'!E18</f>
        <v/>
      </c>
      <c r="Q10" s="24">
        <f>IF(P10=0,0,MIN(1_Parameters!$C$25,O10/P10*100))</f>
        <v/>
      </c>
      <c r="R10" s="22">
        <f>Q10*$B10</f>
        <v/>
      </c>
      <c r="S10" s="22">
        <f>IF(2_Actuals!G11=0,2_Actuals!G15,2_Actuals!G15/2_Actuals!G11)</f>
        <v/>
      </c>
      <c r="T10" s="23">
        <f>'1_Parameters'!E18</f>
        <v/>
      </c>
      <c r="U10" s="24">
        <f>IF(T10=0,0,MIN(1_Parameters!$C$25,S10/T10*100))</f>
        <v/>
      </c>
      <c r="V10" s="22">
        <f>U10*$B10</f>
        <v/>
      </c>
    </row>
    <row r="11">
      <c r="A11" s="6" t="inlineStr">
        <is>
          <t>Safety</t>
        </is>
      </c>
      <c r="B11" s="13">
        <f>'1_Parameters'!C19</f>
        <v/>
      </c>
      <c r="C11" s="22">
        <f>2_Actuals!C16</f>
        <v/>
      </c>
      <c r="D11" s="23">
        <f>'1_Parameters'!E19</f>
        <v/>
      </c>
      <c r="E11" s="24">
        <f>IF(C11=0,100,0)</f>
        <v/>
      </c>
      <c r="F11" s="22">
        <f>E11*$B11</f>
        <v/>
      </c>
      <c r="G11" s="22">
        <f>2_Actuals!D16</f>
        <v/>
      </c>
      <c r="H11" s="23">
        <f>'1_Parameters'!E19</f>
        <v/>
      </c>
      <c r="I11" s="24">
        <f>IF(G11=0,100,0)</f>
        <v/>
      </c>
      <c r="J11" s="22">
        <f>I11*$B11</f>
        <v/>
      </c>
      <c r="K11" s="22">
        <f>2_Actuals!E16</f>
        <v/>
      </c>
      <c r="L11" s="23">
        <f>'1_Parameters'!E19</f>
        <v/>
      </c>
      <c r="M11" s="24">
        <f>IF(K11=0,100,0)</f>
        <v/>
      </c>
      <c r="N11" s="22">
        <f>M11*$B11</f>
        <v/>
      </c>
      <c r="O11" s="22">
        <f>2_Actuals!F16</f>
        <v/>
      </c>
      <c r="P11" s="23">
        <f>'1_Parameters'!E19</f>
        <v/>
      </c>
      <c r="Q11" s="24">
        <f>IF(O11=0,100,0)</f>
        <v/>
      </c>
      <c r="R11" s="22">
        <f>Q11*$B11</f>
        <v/>
      </c>
      <c r="S11" s="22">
        <f>2_Actuals!G16</f>
        <v/>
      </c>
      <c r="T11" s="23">
        <f>'1_Parameters'!E19</f>
        <v/>
      </c>
      <c r="U11" s="24">
        <f>IF(S11=0,100,0)</f>
        <v/>
      </c>
      <c r="V11" s="22">
        <f>U11*$B11</f>
        <v/>
      </c>
    </row>
    <row r="12">
      <c r="A12" s="25" t="inlineStr">
        <is>
          <t>LINE KPI SCORE %</t>
        </is>
      </c>
      <c r="C12" s="26" t="inlineStr"/>
      <c r="D12" s="26" t="inlineStr"/>
      <c r="E12" s="26" t="inlineStr"/>
      <c r="F12" s="27">
        <f>MIN(1_Parameters!$C$26,SUM(F5:F11))</f>
        <v/>
      </c>
      <c r="G12" s="26" t="inlineStr"/>
      <c r="H12" s="26" t="inlineStr"/>
      <c r="I12" s="26" t="inlineStr"/>
      <c r="J12" s="27">
        <f>MIN(1_Parameters!$C$26,SUM(J5:J11))</f>
        <v/>
      </c>
      <c r="K12" s="26" t="inlineStr"/>
      <c r="L12" s="26" t="inlineStr"/>
      <c r="M12" s="26" t="inlineStr"/>
      <c r="N12" s="27">
        <f>MIN(1_Parameters!$C$26,SUM(N5:N11))</f>
        <v/>
      </c>
      <c r="O12" s="26" t="inlineStr"/>
      <c r="P12" s="26" t="inlineStr"/>
      <c r="Q12" s="26" t="inlineStr"/>
      <c r="R12" s="27">
        <f>MIN(1_Parameters!$C$26,SUM(R5:R11))</f>
        <v/>
      </c>
      <c r="S12" s="26" t="inlineStr"/>
      <c r="T12" s="26" t="inlineStr"/>
      <c r="U12" s="26" t="inlineStr"/>
      <c r="V12" s="27">
        <f>MIN(1_Parameters!$C$26,SUM(V5:V11))</f>
        <v/>
      </c>
    </row>
    <row r="14">
      <c r="A14" s="4" t="inlineStr">
        <is>
          <t>Parameter links used on this sheet</t>
        </is>
      </c>
    </row>
    <row r="15">
      <c r="A15" t="inlineStr">
        <is>
          <t>Weights ← 1_Parameters!C13:C19</t>
        </is>
      </c>
    </row>
    <row r="16">
      <c r="A16" t="inlineStr">
        <is>
          <t>Year1 Targets ← 1_Parameters!E13:E19</t>
        </is>
      </c>
    </row>
    <row r="17">
      <c r="A17" t="inlineStr">
        <is>
          <t>Score cap ← 1_Parameters!C25 (usually 100)</t>
        </is>
      </c>
    </row>
    <row r="18">
      <c r="A18" t="inlineStr">
        <is>
          <t>Total cap ← 1_Parameters!C26 (usually 100)</t>
        </is>
      </c>
    </row>
    <row r="19">
      <c r="A19" s="28" t="inlineStr">
        <is>
          <t>If Actuals are still 0, scores may look odd — enter real monthly numbers on 2_Actuals first.</t>
        </is>
      </c>
    </row>
  </sheetData>
  <mergeCells count="6">
    <mergeCell ref="C3:F3"/>
    <mergeCell ref="S3:V3"/>
    <mergeCell ref="G3:J3"/>
    <mergeCell ref="K3:N3"/>
    <mergeCell ref="A1:V1"/>
    <mergeCell ref="O3: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BONUS — plant score, gatekeepers, payouts (driven by Parameters)</t>
        </is>
      </c>
    </row>
    <row r="3">
      <c r="A3" s="10" t="inlineStr">
        <is>
          <t>Line</t>
        </is>
      </c>
      <c r="B3" s="10" t="inlineStr">
        <is>
          <t>KPI Score %</t>
        </is>
      </c>
    </row>
    <row r="4">
      <c r="A4" s="6">
        <f>1_Parameters!A5&amp;" — "&amp;1_Parameters!B5</f>
        <v/>
      </c>
      <c r="B4" s="22">
        <f>3_Scorecard!F12</f>
        <v/>
      </c>
    </row>
    <row r="5">
      <c r="A5" s="6">
        <f>1_Parameters!A6&amp;" — "&amp;1_Parameters!B6</f>
        <v/>
      </c>
      <c r="B5" s="22">
        <f>3_Scorecard!J12</f>
        <v/>
      </c>
    </row>
    <row r="6">
      <c r="A6" s="6">
        <f>1_Parameters!A7&amp;" — "&amp;1_Parameters!B7</f>
        <v/>
      </c>
      <c r="B6" s="22">
        <f>3_Scorecard!N12</f>
        <v/>
      </c>
    </row>
    <row r="7">
      <c r="A7" s="6">
        <f>1_Parameters!A8&amp;" — "&amp;1_Parameters!B8</f>
        <v/>
      </c>
      <c r="B7" s="22">
        <f>3_Scorecard!R12</f>
        <v/>
      </c>
    </row>
    <row r="8">
      <c r="A8" s="6">
        <f>1_Parameters!A9&amp;" — "&amp;1_Parameters!B9</f>
        <v/>
      </c>
      <c r="B8" s="22">
        <f>3_Scorecard!V12</f>
        <v/>
      </c>
    </row>
    <row r="9">
      <c r="A9" t="inlineStr">
        <is>
          <t>Plant score % (AVERAGE)</t>
        </is>
      </c>
      <c r="B9" s="29">
        <f>AVERAGE(B4:B8)</f>
        <v/>
      </c>
    </row>
    <row r="11">
      <c r="A11" s="4" t="inlineStr">
        <is>
          <t>Gatekeeper checks</t>
        </is>
      </c>
    </row>
    <row r="12">
      <c r="A12" t="inlineStr">
        <is>
          <t>Total LTI</t>
        </is>
      </c>
      <c r="B12" s="14">
        <f>SUM(2_Actuals!C16:G16)</f>
        <v/>
      </c>
    </row>
    <row r="13">
      <c r="A13" t="inlineStr">
        <is>
          <t>Major safety?</t>
        </is>
      </c>
      <c r="B13" s="14">
        <f>IF(SUM(2_Actuals!C17:G17)&gt;0,"YES","NO")</f>
        <v/>
      </c>
    </row>
    <row r="14">
      <c r="A14" t="inlineStr">
        <is>
          <t>Major EPW?</t>
        </is>
      </c>
      <c r="B14" s="14">
        <f>IF(SUM(2_Actuals!C18:G18)&gt;0,"YES","NO")</f>
        <v/>
      </c>
    </row>
    <row r="15">
      <c r="A15" t="inlineStr">
        <is>
          <t>Dishonest?</t>
        </is>
      </c>
      <c r="B15" s="14">
        <f>IF(SUM(2_Actuals!C19:G19)&gt;0,"YES","NO")</f>
        <v/>
      </c>
    </row>
    <row r="16">
      <c r="A16" t="inlineStr">
        <is>
          <t>Red audit?</t>
        </is>
      </c>
      <c r="B16" s="14">
        <f>IF(COUNTIF(2_Actuals!C20:G20,"red")&gt;0,"YES","NO")</f>
        <v/>
      </c>
    </row>
    <row r="18">
      <c r="A18" s="30" t="inlineStr">
        <is>
          <t>FINAL BONUS SCORE %</t>
        </is>
      </c>
      <c r="B18" s="31">
        <f>IF(OR(B13="YES",B14="YES",B15="YES"),0,IF(B12&gt;0,B9*1_Parameters!C27,B9)*IF(B16="YES",1_Parameters!C28,1))</f>
        <v/>
      </c>
    </row>
    <row r="20">
      <c r="A20" s="4" t="inlineStr">
        <is>
          <t>Payouts = Opportunity (Parameters) × Final score %</t>
        </is>
      </c>
    </row>
    <row r="21">
      <c r="A21" s="10" t="inlineStr">
        <is>
          <t>Shift</t>
        </is>
      </c>
      <c r="B21" s="10" t="inlineStr">
        <is>
          <t>Role</t>
        </is>
      </c>
      <c r="C21" s="10" t="inlineStr">
        <is>
          <t>Opportunity £</t>
        </is>
      </c>
      <c r="D21" s="10" t="inlineStr">
        <is>
          <t>Final %</t>
        </is>
      </c>
      <c r="E21" s="10" t="inlineStr">
        <is>
          <t>Payout £</t>
        </is>
      </c>
    </row>
    <row r="22">
      <c r="A22" s="6">
        <f>1_Parameters!A37</f>
        <v/>
      </c>
      <c r="B22" s="6">
        <f>1_Parameters!B37</f>
        <v/>
      </c>
      <c r="C22" s="32">
        <f>1_Parameters!C37</f>
        <v/>
      </c>
      <c r="D22" s="22">
        <f>$B$18</f>
        <v/>
      </c>
      <c r="E22" s="33">
        <f>C22*D22/100</f>
        <v/>
      </c>
    </row>
    <row r="23">
      <c r="A23" s="6">
        <f>1_Parameters!A38</f>
        <v/>
      </c>
      <c r="B23" s="6">
        <f>1_Parameters!B38</f>
        <v/>
      </c>
      <c r="C23" s="32">
        <f>1_Parameters!C38</f>
        <v/>
      </c>
      <c r="D23" s="22">
        <f>$B$18</f>
        <v/>
      </c>
      <c r="E23" s="33">
        <f>C23*D23/100</f>
        <v/>
      </c>
    </row>
    <row r="24">
      <c r="A24" s="6">
        <f>1_Parameters!A39</f>
        <v/>
      </c>
      <c r="B24" s="6">
        <f>1_Parameters!B39</f>
        <v/>
      </c>
      <c r="C24" s="32">
        <f>1_Parameters!C39</f>
        <v/>
      </c>
      <c r="D24" s="22">
        <f>$B$18</f>
        <v/>
      </c>
      <c r="E24" s="33">
        <f>C24*D24/100</f>
        <v/>
      </c>
    </row>
    <row r="25">
      <c r="A25" s="6">
        <f>1_Parameters!A40</f>
        <v/>
      </c>
      <c r="B25" s="6">
        <f>1_Parameters!B40</f>
        <v/>
      </c>
      <c r="C25" s="32">
        <f>1_Parameters!C40</f>
        <v/>
      </c>
      <c r="D25" s="22">
        <f>$B$18</f>
        <v/>
      </c>
      <c r="E25" s="33">
        <f>C25*D25/100</f>
        <v/>
      </c>
    </row>
    <row r="26">
      <c r="A26" s="6">
        <f>1_Parameters!A41</f>
        <v/>
      </c>
      <c r="B26" s="6">
        <f>1_Parameters!B41</f>
        <v/>
      </c>
      <c r="C26" s="32">
        <f>1_Parameters!C41</f>
        <v/>
      </c>
      <c r="D26" s="22">
        <f>$B$18</f>
        <v/>
      </c>
      <c r="E26" s="33">
        <f>C26*D26/100</f>
        <v/>
      </c>
    </row>
    <row r="27">
      <c r="A27" s="6">
        <f>1_Parameters!A42</f>
        <v/>
      </c>
      <c r="B27" s="6">
        <f>1_Parameters!B42</f>
        <v/>
      </c>
      <c r="C27" s="32">
        <f>1_Parameters!C42</f>
        <v/>
      </c>
      <c r="D27" s="22">
        <f>$B$18</f>
        <v/>
      </c>
      <c r="E27" s="33">
        <f>C27*D27/100</f>
        <v/>
      </c>
    </row>
    <row r="28">
      <c r="A28" s="6">
        <f>1_Parameters!A43</f>
        <v/>
      </c>
      <c r="B28" s="6">
        <f>1_Parameters!B43</f>
        <v/>
      </c>
      <c r="C28" s="32">
        <f>1_Parameters!C43</f>
        <v/>
      </c>
      <c r="D28" s="22">
        <f>$B$18</f>
        <v/>
      </c>
      <c r="E28" s="33">
        <f>C28*D28/100</f>
        <v/>
      </c>
    </row>
    <row r="29">
      <c r="A29" s="6">
        <f>1_Parameters!A44</f>
        <v/>
      </c>
      <c r="B29" s="6">
        <f>1_Parameters!B44</f>
        <v/>
      </c>
      <c r="C29" s="32">
        <f>1_Parameters!C44</f>
        <v/>
      </c>
      <c r="D29" s="22">
        <f>$B$18</f>
        <v/>
      </c>
      <c r="E29" s="33">
        <f>C29*D29/100</f>
        <v/>
      </c>
    </row>
    <row r="30">
      <c r="A30" s="6">
        <f>1_Parameters!A45</f>
        <v/>
      </c>
      <c r="B30" s="6">
        <f>1_Parameters!B45</f>
        <v/>
      </c>
      <c r="C30" s="32">
        <f>1_Parameters!C45</f>
        <v/>
      </c>
      <c r="D30" s="22">
        <f>$B$18</f>
        <v/>
      </c>
      <c r="E30" s="33">
        <f>C30*D30/100</f>
        <v/>
      </c>
    </row>
    <row r="31">
      <c r="A31" s="6">
        <f>1_Parameters!A46</f>
        <v/>
      </c>
      <c r="B31" s="6">
        <f>1_Parameters!B46</f>
        <v/>
      </c>
      <c r="C31" s="32">
        <f>1_Parameters!C46</f>
        <v/>
      </c>
      <c r="D31" s="22">
        <f>$B$18</f>
        <v/>
      </c>
      <c r="E31" s="33">
        <f>C31*D31/100</f>
        <v/>
      </c>
    </row>
    <row r="32">
      <c r="A32" s="6">
        <f>1_Parameters!A47</f>
        <v/>
      </c>
      <c r="B32" s="6">
        <f>1_Parameters!B47</f>
        <v/>
      </c>
      <c r="C32" s="32">
        <f>1_Parameters!C47</f>
        <v/>
      </c>
      <c r="D32" s="22">
        <f>$B$18</f>
        <v/>
      </c>
      <c r="E32" s="33">
        <f>C32*D32/100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22" customWidth="1" min="5" max="5"/>
    <col width="28" customWidth="1" min="6" max="6"/>
  </cols>
  <sheetData>
    <row r="1">
      <c r="A1" s="1" t="inlineStr">
        <is>
          <t>Complete parameter list — what each field means</t>
        </is>
      </c>
    </row>
    <row r="3">
      <c r="A3" s="10" t="inlineStr">
        <is>
          <t>Group</t>
        </is>
      </c>
      <c r="B3" s="10" t="inlineStr">
        <is>
          <t>Parameter</t>
        </is>
      </c>
      <c r="C3" s="10" t="inlineStr">
        <is>
          <t>Example</t>
        </is>
      </c>
      <c r="D3" s="10" t="inlineStr">
        <is>
          <t>Type</t>
        </is>
      </c>
      <c r="E3" s="10" t="inlineStr">
        <is>
          <t>Who sets it?</t>
        </is>
      </c>
      <c r="F3" s="10" t="inlineStr">
        <is>
          <t>Used for</t>
        </is>
      </c>
    </row>
    <row r="4">
      <c r="A4" s="3" t="inlineStr">
        <is>
          <t>Line</t>
        </is>
      </c>
      <c r="B4" s="3" t="inlineStr">
        <is>
          <t>Line code</t>
        </is>
      </c>
      <c r="C4" s="3" t="inlineStr">
        <is>
          <t>P1</t>
        </is>
      </c>
      <c r="D4" s="3" t="inlineStr">
        <is>
          <t>Text</t>
        </is>
      </c>
      <c r="E4" s="3" t="inlineStr">
        <is>
          <t>Manager</t>
        </is>
      </c>
      <c r="F4" s="3" t="inlineStr">
        <is>
          <t>Identify machine column</t>
        </is>
      </c>
    </row>
    <row r="5">
      <c r="A5" s="3" t="inlineStr">
        <is>
          <t>Line</t>
        </is>
      </c>
      <c r="B5" s="3" t="inlineStr">
        <is>
          <t>Machine name</t>
        </is>
      </c>
      <c r="C5" s="3" t="inlineStr">
        <is>
          <t>Pancake machinery</t>
        </is>
      </c>
      <c r="D5" s="3" t="inlineStr">
        <is>
          <t>Text</t>
        </is>
      </c>
      <c r="E5" s="3" t="inlineStr">
        <is>
          <t>Manager</t>
        </is>
      </c>
      <c r="F5" s="3" t="inlineStr">
        <is>
          <t>Reports / labels</t>
        </is>
      </c>
    </row>
    <row r="6">
      <c r="A6" s="3" t="inlineStr">
        <is>
          <t>KPI</t>
        </is>
      </c>
      <c r="B6" s="3" t="inlineStr">
        <is>
          <t>Weight</t>
        </is>
      </c>
      <c r="C6" s="3" t="inlineStr">
        <is>
          <t>20%</t>
        </is>
      </c>
      <c r="D6" s="3" t="inlineStr">
        <is>
          <t>Number 0–1</t>
        </is>
      </c>
      <c r="E6" s="3" t="inlineStr">
        <is>
          <t>Scheme V2</t>
        </is>
      </c>
      <c r="F6" s="3" t="inlineStr">
        <is>
          <t>Weighted contribution</t>
        </is>
      </c>
    </row>
    <row r="7">
      <c r="A7" s="3" t="inlineStr">
        <is>
          <t>KPI</t>
        </is>
      </c>
      <c r="B7" s="3" t="inlineStr">
        <is>
          <t>Year1 Target OEE</t>
        </is>
      </c>
      <c r="C7" s="3" t="inlineStr">
        <is>
          <t>82</t>
        </is>
      </c>
      <c r="D7" s="3" t="inlineStr">
        <is>
          <t>%</t>
        </is>
      </c>
      <c r="E7" s="3" t="inlineStr">
        <is>
          <t>Scheme V2</t>
        </is>
      </c>
      <c r="F7" s="3" t="inlineStr">
        <is>
          <t>OEE score</t>
        </is>
      </c>
    </row>
    <row r="8">
      <c r="A8" s="3" t="inlineStr">
        <is>
          <t>KPI</t>
        </is>
      </c>
      <c r="B8" s="3" t="inlineStr">
        <is>
          <t>Year1 Target BF</t>
        </is>
      </c>
      <c r="C8" s="3" t="inlineStr">
        <is>
          <t>15</t>
        </is>
      </c>
      <c r="D8" s="3" t="inlineStr">
        <is>
          <t>Count</t>
        </is>
      </c>
      <c r="E8" s="3" t="inlineStr">
        <is>
          <t>Scheme V2</t>
        </is>
      </c>
      <c r="F8" s="3" t="inlineStr">
        <is>
          <t>Breakdown frequency score</t>
        </is>
      </c>
    </row>
    <row r="9">
      <c r="A9" s="3" t="inlineStr">
        <is>
          <t>KPI</t>
        </is>
      </c>
      <c r="B9" s="3" t="inlineStr">
        <is>
          <t>Year1 Target BH</t>
        </is>
      </c>
      <c r="C9" s="3" t="inlineStr">
        <is>
          <t>20</t>
        </is>
      </c>
      <c r="D9" s="3" t="inlineStr">
        <is>
          <t>Hours</t>
        </is>
      </c>
      <c r="E9" s="3" t="inlineStr">
        <is>
          <t>Scheme V2</t>
        </is>
      </c>
      <c r="F9" s="3" t="inlineStr">
        <is>
          <t>Breakdown hours score</t>
        </is>
      </c>
    </row>
    <row r="10">
      <c r="A10" s="3" t="inlineStr">
        <is>
          <t>KPI</t>
        </is>
      </c>
      <c r="B10" s="3" t="inlineStr">
        <is>
          <t>Year1 Target PM</t>
        </is>
      </c>
      <c r="C10" s="3" t="inlineStr">
        <is>
          <t>98</t>
        </is>
      </c>
      <c r="D10" s="3" t="inlineStr">
        <is>
          <t>%</t>
        </is>
      </c>
      <c r="E10" s="3" t="inlineStr">
        <is>
          <t>Scheme V2</t>
        </is>
      </c>
      <c r="F10" s="3" t="inlineStr">
        <is>
          <t>PM compliance score</t>
        </is>
      </c>
    </row>
    <row r="11">
      <c r="A11" s="3" t="inlineStr">
        <is>
          <t>KPI</t>
        </is>
      </c>
      <c r="B11" s="3" t="inlineStr">
        <is>
          <t>Year1 Target MTTR</t>
        </is>
      </c>
      <c r="C11" s="3" t="inlineStr">
        <is>
          <t>2.5</t>
        </is>
      </c>
      <c r="D11" s="3" t="inlineStr">
        <is>
          <t>Hours</t>
        </is>
      </c>
      <c r="E11" s="3" t="inlineStr">
        <is>
          <t>Scheme V2</t>
        </is>
      </c>
      <c r="F11" s="3" t="inlineStr">
        <is>
          <t>MTTR score</t>
        </is>
      </c>
    </row>
    <row r="12">
      <c r="A12" s="3" t="inlineStr">
        <is>
          <t>KPI</t>
        </is>
      </c>
      <c r="B12" s="3" t="inlineStr">
        <is>
          <t>Year1 Target MTBF</t>
        </is>
      </c>
      <c r="C12" s="3" t="inlineStr">
        <is>
          <t>150</t>
        </is>
      </c>
      <c r="D12" s="3" t="inlineStr">
        <is>
          <t>Hours</t>
        </is>
      </c>
      <c r="E12" s="3" t="inlineStr">
        <is>
          <t>Scheme V2</t>
        </is>
      </c>
      <c r="F12" s="3" t="inlineStr">
        <is>
          <t>MTBF score</t>
        </is>
      </c>
    </row>
    <row r="13">
      <c r="A13" s="3" t="inlineStr">
        <is>
          <t>KPI</t>
        </is>
      </c>
      <c r="B13" s="3" t="inlineStr">
        <is>
          <t>Year1 Target Safety</t>
        </is>
      </c>
      <c r="C13" s="3" t="inlineStr">
        <is>
          <t>0</t>
        </is>
      </c>
      <c r="D13" s="3" t="inlineStr">
        <is>
          <t>LTI</t>
        </is>
      </c>
      <c r="E13" s="3" t="inlineStr">
        <is>
          <t>Scheme V2</t>
        </is>
      </c>
      <c r="F13" s="3" t="inlineStr">
        <is>
          <t>Safety score</t>
        </is>
      </c>
    </row>
    <row r="14">
      <c r="A14" s="3" t="inlineStr">
        <is>
          <t>Actual</t>
        </is>
      </c>
      <c r="B14" s="3" t="inlineStr">
        <is>
          <t>Planned production hours</t>
        </is>
      </c>
      <c r="C14" s="3" t="inlineStr">
        <is>
          <t>480</t>
        </is>
      </c>
      <c r="D14" s="3" t="inlineStr">
        <is>
          <t>Hours</t>
        </is>
      </c>
      <c r="E14" s="3" t="inlineStr">
        <is>
          <t>Data analyst / Production</t>
        </is>
      </c>
      <c r="F14" s="3" t="inlineStr">
        <is>
          <t>OEE availability</t>
        </is>
      </c>
    </row>
    <row r="15">
      <c r="A15" s="3" t="inlineStr">
        <is>
          <t>Actual</t>
        </is>
      </c>
      <c r="B15" s="3" t="inlineStr">
        <is>
          <t>Actual operating hours</t>
        </is>
      </c>
      <c r="C15" s="3" t="inlineStr">
        <is>
          <t>420</t>
        </is>
      </c>
      <c r="D15" s="3" t="inlineStr">
        <is>
          <t>Hours</t>
        </is>
      </c>
      <c r="E15" s="3" t="inlineStr">
        <is>
          <t>Data analyst</t>
        </is>
      </c>
      <c r="F15" s="3" t="inlineStr">
        <is>
          <t>OEE + MTBF</t>
        </is>
      </c>
    </row>
    <row r="16">
      <c r="A16" s="3" t="inlineStr">
        <is>
          <t>Actual</t>
        </is>
      </c>
      <c r="B16" s="3" t="inlineStr">
        <is>
          <t>Ideal rate</t>
        </is>
      </c>
      <c r="C16" s="3" t="inlineStr">
        <is>
          <t>1200</t>
        </is>
      </c>
      <c r="D16" s="3" t="inlineStr">
        <is>
          <t>Units/hour</t>
        </is>
      </c>
      <c r="E16" s="3" t="inlineStr">
        <is>
          <t>Engineering</t>
        </is>
      </c>
      <c r="F16" s="3" t="inlineStr">
        <is>
          <t>OEE performance</t>
        </is>
      </c>
    </row>
    <row r="17">
      <c r="A17" s="3" t="inlineStr">
        <is>
          <t>Actual</t>
        </is>
      </c>
      <c r="B17" s="3" t="inlineStr">
        <is>
          <t>Actual output units</t>
        </is>
      </c>
      <c r="C17" s="3" t="inlineStr">
        <is>
          <t>480000</t>
        </is>
      </c>
      <c r="D17" s="3" t="inlineStr">
        <is>
          <t>Units</t>
        </is>
      </c>
      <c r="E17" s="3" t="inlineStr">
        <is>
          <t>Production</t>
        </is>
      </c>
      <c r="F17" s="3" t="inlineStr">
        <is>
          <t>OEE performance</t>
        </is>
      </c>
    </row>
    <row r="18">
      <c r="A18" s="3" t="inlineStr">
        <is>
          <t>Actual</t>
        </is>
      </c>
      <c r="B18" s="3" t="inlineStr">
        <is>
          <t>Good units</t>
        </is>
      </c>
      <c r="C18" s="3" t="inlineStr">
        <is>
          <t>465600</t>
        </is>
      </c>
      <c r="D18" s="3" t="inlineStr">
        <is>
          <t>Units</t>
        </is>
      </c>
      <c r="E18" s="3" t="inlineStr">
        <is>
          <t>Quality</t>
        </is>
      </c>
      <c r="F18" s="3" t="inlineStr">
        <is>
          <t>OEE quality</t>
        </is>
      </c>
    </row>
    <row r="19">
      <c r="A19" s="3" t="inlineStr">
        <is>
          <t>Actual</t>
        </is>
      </c>
      <c r="B19" s="3" t="inlineStr">
        <is>
          <t>Breakdown count</t>
        </is>
      </c>
      <c r="C19" s="3" t="inlineStr">
        <is>
          <t>12</t>
        </is>
      </c>
      <c r="D19" s="3" t="inlineStr">
        <is>
          <t>Count</t>
        </is>
      </c>
      <c r="E19" s="3" t="inlineStr">
        <is>
          <t>Teams / Maintainer</t>
        </is>
      </c>
      <c r="F19" s="3" t="inlineStr">
        <is>
          <t>BF, MTTR, MTBF</t>
        </is>
      </c>
    </row>
    <row r="20">
      <c r="A20" s="3" t="inlineStr">
        <is>
          <t>Actual</t>
        </is>
      </c>
      <c r="B20" s="3" t="inlineStr">
        <is>
          <t>Breakdown hours</t>
        </is>
      </c>
      <c r="C20" s="3" t="inlineStr">
        <is>
          <t>18.5</t>
        </is>
      </c>
      <c r="D20" s="3" t="inlineStr">
        <is>
          <t>Hours</t>
        </is>
      </c>
      <c r="E20" s="3" t="inlineStr">
        <is>
          <t>Excel downtime</t>
        </is>
      </c>
      <c r="F20" s="3" t="inlineStr">
        <is>
          <t>BH, MTTR</t>
        </is>
      </c>
    </row>
    <row r="21">
      <c r="A21" s="3" t="inlineStr">
        <is>
          <t>Actual</t>
        </is>
      </c>
      <c r="B21" s="3" t="inlineStr">
        <is>
          <t>Planned PM jobs</t>
        </is>
      </c>
      <c r="C21" s="3" t="inlineStr">
        <is>
          <t>25</t>
        </is>
      </c>
      <c r="D21" s="3" t="inlineStr">
        <is>
          <t>Count</t>
        </is>
      </c>
      <c r="E21" s="3" t="inlineStr">
        <is>
          <t>Maintainer</t>
        </is>
      </c>
      <c r="F21" s="3" t="inlineStr">
        <is>
          <t>PM compliance</t>
        </is>
      </c>
    </row>
    <row r="22">
      <c r="A22" s="3" t="inlineStr">
        <is>
          <t>Actual</t>
        </is>
      </c>
      <c r="B22" s="3" t="inlineStr">
        <is>
          <t>Completed PM on time</t>
        </is>
      </c>
      <c r="C22" s="3" t="inlineStr">
        <is>
          <t>24</t>
        </is>
      </c>
      <c r="D22" s="3" t="inlineStr">
        <is>
          <t>Count</t>
        </is>
      </c>
      <c r="E22" s="3" t="inlineStr">
        <is>
          <t>Maintainer</t>
        </is>
      </c>
      <c r="F22" s="3" t="inlineStr">
        <is>
          <t>PM compliance</t>
        </is>
      </c>
    </row>
    <row r="23">
      <c r="A23" s="3" t="inlineStr">
        <is>
          <t>Actual</t>
        </is>
      </c>
      <c r="B23" s="3" t="inlineStr">
        <is>
          <t>Operational hours</t>
        </is>
      </c>
      <c r="C23" s="3" t="inlineStr">
        <is>
          <t>420</t>
        </is>
      </c>
      <c r="D23" s="3" t="inlineStr">
        <is>
          <t>Hours</t>
        </is>
      </c>
      <c r="E23" s="3" t="inlineStr">
        <is>
          <t>Excel</t>
        </is>
      </c>
      <c r="F23" s="3" t="inlineStr">
        <is>
          <t>MTBF</t>
        </is>
      </c>
    </row>
    <row r="24">
      <c r="A24" s="3" t="inlineStr">
        <is>
          <t>Actual</t>
        </is>
      </c>
      <c r="B24" s="3" t="inlineStr">
        <is>
          <t>LTI count</t>
        </is>
      </c>
      <c r="C24" s="3" t="inlineStr">
        <is>
          <t>0</t>
        </is>
      </c>
      <c r="D24" s="3" t="inlineStr">
        <is>
          <t>Count</t>
        </is>
      </c>
      <c r="E24" s="3" t="inlineStr">
        <is>
          <t>H&amp;S</t>
        </is>
      </c>
      <c r="F24" s="3" t="inlineStr">
        <is>
          <t>Safety + gatekeeper</t>
        </is>
      </c>
    </row>
    <row r="25">
      <c r="A25" s="3" t="inlineStr">
        <is>
          <t>Actual</t>
        </is>
      </c>
      <c r="B25" s="3" t="inlineStr">
        <is>
          <t>Major safety / EPW / dishonest</t>
        </is>
      </c>
      <c r="C25" s="3" t="inlineStr">
        <is>
          <t>0</t>
        </is>
      </c>
      <c r="D25" s="3" t="inlineStr">
        <is>
          <t>0 or 1</t>
        </is>
      </c>
      <c r="E25" s="3" t="inlineStr">
        <is>
          <t>H&amp;S / Mgmt</t>
        </is>
      </c>
      <c r="F25" s="3" t="inlineStr">
        <is>
          <t>Bonus stop rules</t>
        </is>
      </c>
    </row>
    <row r="26">
      <c r="A26" s="3" t="inlineStr">
        <is>
          <t>Actual</t>
        </is>
      </c>
      <c r="B26" s="3" t="inlineStr">
        <is>
          <t>Audit result</t>
        </is>
      </c>
      <c r="C26" s="3" t="inlineStr">
        <is>
          <t>green</t>
        </is>
      </c>
      <c r="D26" s="3" t="inlineStr">
        <is>
          <t>green/amber/red</t>
        </is>
      </c>
      <c r="E26" s="3" t="inlineStr">
        <is>
          <t>Audit</t>
        </is>
      </c>
      <c r="F26" s="3" t="inlineStr">
        <is>
          <t>Bonus adjust</t>
        </is>
      </c>
    </row>
    <row r="27">
      <c r="A27" s="3" t="inlineStr">
        <is>
          <t>Bonus</t>
        </is>
      </c>
      <c r="B27" s="3" t="inlineStr">
        <is>
          <t>Opportunity £</t>
        </is>
      </c>
      <c r="C27" s="3" t="inlineStr">
        <is>
          <t>324</t>
        </is>
      </c>
      <c r="D27" s="3" t="inlineStr">
        <is>
          <t>Money</t>
        </is>
      </c>
      <c r="E27" s="3" t="inlineStr">
        <is>
          <t>HR / Scheme</t>
        </is>
      </c>
      <c r="F27" s="3" t="inlineStr">
        <is>
          <t>Payout = £ × score%</t>
        </is>
      </c>
    </row>
    <row r="28">
      <c r="A28" s="3" t="inlineStr">
        <is>
          <t>Rule</t>
        </is>
      </c>
      <c r="B28" s="3" t="inlineStr">
        <is>
          <t>Score cap</t>
        </is>
      </c>
      <c r="C28" s="3" t="inlineStr">
        <is>
          <t>100</t>
        </is>
      </c>
      <c r="D28" s="3" t="inlineStr">
        <is>
          <t>%</t>
        </is>
      </c>
      <c r="E28" s="3" t="inlineStr">
        <is>
          <t>Scheme V2</t>
        </is>
      </c>
      <c r="F28" s="3" t="inlineStr">
        <is>
          <t>MIN() in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2026-08-06T09:42:54Z</dcterms:created>
  <dcterms:modified xsi:type="dcterms:W3CDTF">2026-08-06T09:42:54Z</dcterms:modified>
</cp:coreProperties>
</file>